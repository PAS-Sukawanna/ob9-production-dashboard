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5048fcae472e52/PAS/"/>
    </mc:Choice>
  </mc:AlternateContent>
  <xr:revisionPtr revIDLastSave="32" documentId="13_ncr:1_{62B27C3E-E6BE-6545-BF8F-139DEB36363F}" xr6:coauthVersionLast="47" xr6:coauthVersionMax="47" xr10:uidLastSave="{6F4D95EE-F596-5C46-91BF-DDF56F4ACEA6}"/>
  <bookViews>
    <workbookView xWindow="-140" yWindow="680" windowWidth="24460" windowHeight="19920" activeTab="1" xr2:uid="{0162F479-4EA1-2748-8F62-7173F75F2C8C}"/>
  </bookViews>
  <sheets>
    <sheet name="Sheet1" sheetId="1" r:id="rId1"/>
    <sheet name="% YEILD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7" i="3" l="1"/>
  <c r="AG62" i="3"/>
  <c r="AE62" i="3"/>
  <c r="AA62" i="3"/>
  <c r="Y62" i="3"/>
  <c r="U62" i="3"/>
  <c r="S62" i="3"/>
  <c r="O62" i="3"/>
  <c r="M62" i="3"/>
  <c r="I62" i="3"/>
  <c r="G62" i="3"/>
  <c r="AN62" i="3"/>
  <c r="AG61" i="3"/>
  <c r="AC61" i="3"/>
  <c r="AA61" i="3"/>
  <c r="W61" i="3"/>
  <c r="U61" i="3"/>
  <c r="Q61" i="3"/>
  <c r="O61" i="3"/>
  <c r="K61" i="3"/>
  <c r="I61" i="3"/>
  <c r="E61" i="3"/>
  <c r="AN61" i="3"/>
  <c r="AG60" i="3"/>
  <c r="AE60" i="3"/>
  <c r="AC60" i="3"/>
  <c r="AA60" i="3"/>
  <c r="Y60" i="3"/>
  <c r="W60" i="3"/>
  <c r="O60" i="3"/>
  <c r="M60" i="3"/>
  <c r="K60" i="3"/>
  <c r="I60" i="3"/>
  <c r="G60" i="3"/>
  <c r="E60" i="3"/>
  <c r="AN60" i="3"/>
  <c r="AG59" i="3"/>
  <c r="AE59" i="3"/>
  <c r="AC59" i="3"/>
  <c r="AA59" i="3"/>
  <c r="Y59" i="3"/>
  <c r="W59" i="3"/>
  <c r="U59" i="3"/>
  <c r="S59" i="3"/>
  <c r="Q59" i="3"/>
  <c r="O59" i="3"/>
  <c r="K59" i="3"/>
  <c r="I59" i="3"/>
  <c r="G59" i="3"/>
  <c r="E59" i="3"/>
  <c r="AN59" i="3"/>
  <c r="U58" i="3"/>
  <c r="Q58" i="3"/>
  <c r="AA58" i="3"/>
  <c r="Y58" i="3"/>
  <c r="AG58" i="3"/>
  <c r="AE58" i="3"/>
  <c r="AC58" i="3"/>
  <c r="AN58" i="3"/>
  <c r="AG57" i="3"/>
  <c r="AE57" i="3"/>
  <c r="AA57" i="3"/>
  <c r="Y57" i="3"/>
  <c r="U57" i="3"/>
  <c r="S57" i="3"/>
  <c r="I57" i="3"/>
  <c r="G57" i="3"/>
  <c r="AN57" i="3"/>
  <c r="AG56" i="3"/>
  <c r="AE56" i="3"/>
  <c r="AC56" i="3"/>
  <c r="AA56" i="3"/>
  <c r="Y56" i="3"/>
  <c r="W56" i="3"/>
  <c r="U56" i="3"/>
  <c r="S56" i="3"/>
  <c r="Q56" i="3"/>
  <c r="O56" i="3"/>
  <c r="M56" i="3"/>
  <c r="K56" i="3"/>
  <c r="I56" i="3"/>
  <c r="G56" i="3"/>
  <c r="E56" i="3"/>
  <c r="AN56" i="3"/>
  <c r="AG55" i="3"/>
  <c r="AE55" i="3"/>
  <c r="AA55" i="3"/>
  <c r="Y55" i="3"/>
  <c r="U55" i="3"/>
  <c r="S55" i="3"/>
  <c r="O55" i="3"/>
  <c r="M55" i="3"/>
  <c r="I55" i="3"/>
  <c r="G55" i="3"/>
  <c r="AN55" i="3"/>
  <c r="AG54" i="3"/>
  <c r="AE54" i="3"/>
  <c r="AC54" i="3"/>
  <c r="AA54" i="3"/>
  <c r="Y54" i="3"/>
  <c r="U54" i="3"/>
  <c r="S54" i="3"/>
  <c r="Q54" i="3"/>
  <c r="O54" i="3"/>
  <c r="M54" i="3"/>
  <c r="K54" i="3"/>
  <c r="I54" i="3"/>
  <c r="G54" i="3"/>
  <c r="AN54" i="3"/>
  <c r="AG53" i="3"/>
  <c r="AC53" i="3"/>
  <c r="AA53" i="3"/>
  <c r="Y53" i="3"/>
  <c r="W53" i="3"/>
  <c r="U53" i="3"/>
  <c r="Q53" i="3"/>
  <c r="O53" i="3"/>
  <c r="L53" i="3"/>
  <c r="I53" i="3"/>
  <c r="G53" i="3"/>
  <c r="F53" i="3"/>
  <c r="AN53" i="3"/>
  <c r="AG52" i="3"/>
  <c r="AA52" i="3"/>
  <c r="U52" i="3"/>
  <c r="O52" i="3"/>
  <c r="I52" i="3"/>
  <c r="AE52" i="3"/>
  <c r="AC52" i="3"/>
  <c r="Y52" i="3"/>
  <c r="W52" i="3"/>
  <c r="S52" i="3"/>
  <c r="Q52" i="3"/>
  <c r="M52" i="3"/>
  <c r="K52" i="3"/>
  <c r="G52" i="3"/>
  <c r="E52" i="3"/>
  <c r="AN52" i="3"/>
  <c r="AG51" i="3"/>
  <c r="AE51" i="3"/>
  <c r="AC51" i="3"/>
  <c r="AA51" i="3"/>
  <c r="Y51" i="3"/>
  <c r="W51" i="3"/>
  <c r="U51" i="3"/>
  <c r="S51" i="3"/>
  <c r="Q51" i="3"/>
  <c r="O51" i="3"/>
  <c r="M51" i="3"/>
  <c r="K51" i="3"/>
  <c r="I51" i="3"/>
  <c r="G51" i="3"/>
  <c r="E51" i="3"/>
  <c r="AN51" i="3"/>
  <c r="BK51" i="3"/>
  <c r="AA50" i="3"/>
  <c r="Y50" i="3"/>
  <c r="U50" i="3"/>
  <c r="S50" i="3"/>
  <c r="O50" i="3"/>
  <c r="I50" i="3"/>
  <c r="G50" i="3"/>
  <c r="AN50" i="3"/>
  <c r="U49" i="3"/>
  <c r="S49" i="3"/>
  <c r="AA49" i="3"/>
  <c r="Y49" i="3"/>
  <c r="AG49" i="3"/>
  <c r="AE49" i="3"/>
  <c r="O49" i="3"/>
  <c r="M49" i="3"/>
  <c r="I49" i="3"/>
  <c r="G49" i="3"/>
  <c r="AN49" i="3"/>
  <c r="Y48" i="3"/>
  <c r="U48" i="3"/>
  <c r="S48" i="3"/>
  <c r="Q48" i="3"/>
  <c r="O48" i="3"/>
  <c r="M48" i="3"/>
  <c r="K48" i="3"/>
  <c r="I48" i="3"/>
  <c r="G48" i="3"/>
  <c r="E48" i="3"/>
  <c r="AN48" i="3"/>
  <c r="AG47" i="3"/>
  <c r="AA47" i="3"/>
  <c r="U47" i="3"/>
  <c r="R47" i="3"/>
  <c r="O47" i="3"/>
  <c r="L47" i="3"/>
  <c r="I47" i="3"/>
  <c r="F47" i="3"/>
  <c r="AN47" i="3"/>
  <c r="AQ47" i="3"/>
  <c r="AG46" i="3"/>
  <c r="AF46" i="3"/>
  <c r="AE46" i="3"/>
  <c r="AA46" i="3"/>
  <c r="Y46" i="3"/>
  <c r="S46" i="3"/>
  <c r="O46" i="3"/>
  <c r="M46" i="3"/>
  <c r="I46" i="3"/>
  <c r="G46" i="3"/>
  <c r="H46" i="3" s="1"/>
  <c r="U46" i="3"/>
  <c r="AN46" i="3"/>
  <c r="BE46" i="3"/>
  <c r="AG45" i="3"/>
  <c r="AE45" i="3"/>
  <c r="AC45" i="3"/>
  <c r="AA45" i="3"/>
  <c r="Y45" i="3"/>
  <c r="W45" i="3"/>
  <c r="U45" i="3"/>
  <c r="S45" i="3"/>
  <c r="Q45" i="3"/>
  <c r="O45" i="3"/>
  <c r="K45" i="3"/>
  <c r="I45" i="3"/>
  <c r="G45" i="3"/>
  <c r="H45" i="3" s="1"/>
  <c r="AN45" i="3"/>
  <c r="AA44" i="3"/>
  <c r="Y44" i="3"/>
  <c r="U44" i="3"/>
  <c r="S44" i="3"/>
  <c r="O44" i="3"/>
  <c r="M44" i="3"/>
  <c r="L44" i="3"/>
  <c r="K44" i="3"/>
  <c r="I44" i="3"/>
  <c r="G44" i="3"/>
  <c r="F44" i="3"/>
  <c r="E44" i="3"/>
  <c r="AN44" i="3"/>
  <c r="I43" i="3"/>
  <c r="G43" i="3"/>
  <c r="H43" i="3" s="1"/>
  <c r="AN43" i="3"/>
  <c r="AG42" i="3"/>
  <c r="AE42" i="3"/>
  <c r="AD42" i="3"/>
  <c r="AC42" i="3"/>
  <c r="AB42" i="3"/>
  <c r="AA42" i="3"/>
  <c r="Y42" i="3"/>
  <c r="W42" i="3"/>
  <c r="U42" i="3"/>
  <c r="S42" i="3"/>
  <c r="O42" i="3"/>
  <c r="M42" i="3"/>
  <c r="N42" i="3" s="1"/>
  <c r="I42" i="3"/>
  <c r="G42" i="3"/>
  <c r="H42" i="3"/>
  <c r="T42" i="3"/>
  <c r="AI42" i="3"/>
  <c r="Z42" i="3"/>
  <c r="AF42" i="3"/>
  <c r="AN42" i="3"/>
  <c r="AU42" i="3"/>
  <c r="N43" i="3"/>
  <c r="T43" i="3"/>
  <c r="Z43" i="3"/>
  <c r="AF43" i="3"/>
  <c r="N44" i="3"/>
  <c r="AH44" i="3" s="1"/>
  <c r="AX44" i="3" s="1"/>
  <c r="T44" i="3"/>
  <c r="Z44" i="3"/>
  <c r="AF44" i="3"/>
  <c r="AI44" i="3"/>
  <c r="T45" i="3"/>
  <c r="AF45" i="3"/>
  <c r="BA45" i="3"/>
  <c r="T46" i="3"/>
  <c r="Z46" i="3"/>
  <c r="AQ46" i="3"/>
  <c r="H47" i="3"/>
  <c r="T47" i="3"/>
  <c r="AF47" i="3"/>
  <c r="BA47" i="3"/>
  <c r="BC47" i="3"/>
  <c r="BE47" i="3"/>
  <c r="BI47" i="3"/>
  <c r="H48" i="3"/>
  <c r="T48" i="3"/>
  <c r="AF48" i="3"/>
  <c r="AW48" i="3"/>
  <c r="BK48" i="3"/>
  <c r="BL48" i="3" s="1"/>
  <c r="H49" i="3"/>
  <c r="AL49" i="3" s="1"/>
  <c r="N49" i="3"/>
  <c r="T49" i="3"/>
  <c r="Z49" i="3"/>
  <c r="AF49" i="3"/>
  <c r="AO49" i="3"/>
  <c r="AW49" i="3"/>
  <c r="BE49" i="3"/>
  <c r="BI49" i="3"/>
  <c r="T50" i="3"/>
  <c r="Z50" i="3"/>
  <c r="AF50" i="3"/>
  <c r="AQ50" i="3"/>
  <c r="AY50" i="3"/>
  <c r="BA50" i="3"/>
  <c r="BB50" i="3" s="1"/>
  <c r="BC50" i="3"/>
  <c r="BD50" i="3" s="1"/>
  <c r="H51" i="3"/>
  <c r="N51" i="3"/>
  <c r="T51" i="3"/>
  <c r="AF51" i="3"/>
  <c r="AI51" i="3"/>
  <c r="H52" i="3"/>
  <c r="AM52" i="3" s="1"/>
  <c r="N52" i="3"/>
  <c r="AH52" i="3" s="1"/>
  <c r="BH52" i="3" s="1"/>
  <c r="AI52" i="3"/>
  <c r="T52" i="3"/>
  <c r="Z52" i="3"/>
  <c r="AF52" i="3"/>
  <c r="AY52" i="3"/>
  <c r="AW52" i="3"/>
  <c r="H53" i="3"/>
  <c r="T53" i="3"/>
  <c r="AF53" i="3"/>
  <c r="AW53" i="3"/>
  <c r="BI53" i="3"/>
  <c r="T54" i="3"/>
  <c r="Z54" i="3"/>
  <c r="AF54" i="3"/>
  <c r="AS54" i="3"/>
  <c r="BA54" i="3"/>
  <c r="BC54" i="3"/>
  <c r="BD54" i="3" s="1"/>
  <c r="T55" i="3"/>
  <c r="AF55" i="3"/>
  <c r="AY55" i="3"/>
  <c r="H56" i="3"/>
  <c r="T56" i="3"/>
  <c r="AF56" i="3"/>
  <c r="AI56" i="3"/>
  <c r="AO56" i="3"/>
  <c r="AU56" i="3"/>
  <c r="AY56" i="3"/>
  <c r="BE56" i="3"/>
  <c r="BG56" i="3"/>
  <c r="BI56" i="3"/>
  <c r="H57" i="3"/>
  <c r="N57" i="3"/>
  <c r="T57" i="3"/>
  <c r="AF57" i="3"/>
  <c r="BI57" i="3"/>
  <c r="AO57" i="3"/>
  <c r="AS57" i="3"/>
  <c r="BA57" i="3"/>
  <c r="N58" i="3"/>
  <c r="T58" i="3"/>
  <c r="AF58" i="3"/>
  <c r="AY58" i="3"/>
  <c r="AO58" i="3"/>
  <c r="AQ58" i="3"/>
  <c r="AS58" i="3"/>
  <c r="AU58" i="3"/>
  <c r="AW58" i="3"/>
  <c r="BC58" i="3"/>
  <c r="BE58" i="3"/>
  <c r="BG58" i="3"/>
  <c r="BI58" i="3"/>
  <c r="BK58" i="3"/>
  <c r="H59" i="3"/>
  <c r="T59" i="3"/>
  <c r="AF59" i="3"/>
  <c r="AU59" i="3"/>
  <c r="AY59" i="3"/>
  <c r="BG59" i="3"/>
  <c r="BK59" i="3"/>
  <c r="H60" i="3"/>
  <c r="AK60" i="3"/>
  <c r="T60" i="3"/>
  <c r="AF60" i="3"/>
  <c r="AW60" i="3"/>
  <c r="AO60" i="3"/>
  <c r="AQ60" i="3"/>
  <c r="AS60" i="3"/>
  <c r="AU60" i="3"/>
  <c r="AY60" i="3"/>
  <c r="BA60" i="3"/>
  <c r="BE60" i="3"/>
  <c r="BG60" i="3"/>
  <c r="BI60" i="3"/>
  <c r="BK60" i="3"/>
  <c r="H61" i="3"/>
  <c r="N61" i="3"/>
  <c r="T61" i="3"/>
  <c r="Z61" i="3"/>
  <c r="AF61" i="3"/>
  <c r="N62" i="3"/>
  <c r="T62" i="3"/>
  <c r="Z62" i="3"/>
  <c r="AF62" i="3"/>
  <c r="AQ62" i="3"/>
  <c r="AY62" i="3"/>
  <c r="BA62" i="3"/>
  <c r="BC62" i="3"/>
  <c r="AK7" i="3"/>
  <c r="AL2" i="3"/>
  <c r="AM7" i="3"/>
  <c r="AM2" i="3"/>
  <c r="AM35" i="3" s="1"/>
  <c r="AG40" i="3"/>
  <c r="AC40" i="3"/>
  <c r="AF40" i="3"/>
  <c r="AA40" i="3"/>
  <c r="Y40" i="3"/>
  <c r="W40" i="3"/>
  <c r="V40" i="3"/>
  <c r="Z40" i="3" s="1"/>
  <c r="U40" i="3"/>
  <c r="Q40" i="3"/>
  <c r="T40" i="3" s="1"/>
  <c r="O40" i="3"/>
  <c r="AI40" i="3" s="1"/>
  <c r="M40" i="3"/>
  <c r="K40" i="3"/>
  <c r="J40" i="3"/>
  <c r="I40" i="3"/>
  <c r="G40" i="3"/>
  <c r="E40" i="3"/>
  <c r="H40" i="3" s="1"/>
  <c r="AN40" i="3"/>
  <c r="AY40" i="3"/>
  <c r="AG39" i="3"/>
  <c r="AA39" i="3"/>
  <c r="U39" i="3"/>
  <c r="O39" i="3"/>
  <c r="I39" i="3"/>
  <c r="AI39" i="3"/>
  <c r="AE39" i="3"/>
  <c r="AF39" i="3"/>
  <c r="Y39" i="3"/>
  <c r="Z39" i="3"/>
  <c r="M39" i="3"/>
  <c r="N39" i="3"/>
  <c r="G39" i="3"/>
  <c r="H39" i="3" s="1"/>
  <c r="AN39" i="3"/>
  <c r="BA39" i="3"/>
  <c r="AG38" i="3"/>
  <c r="AA38" i="3"/>
  <c r="U38" i="3"/>
  <c r="O38" i="3"/>
  <c r="I38" i="3"/>
  <c r="Y38" i="3"/>
  <c r="Z38" i="3"/>
  <c r="S38" i="3"/>
  <c r="T38" i="3" s="1"/>
  <c r="M38" i="3"/>
  <c r="G38" i="3"/>
  <c r="H38" i="3" s="1"/>
  <c r="AN38" i="3"/>
  <c r="AY38" i="3"/>
  <c r="AA37" i="3"/>
  <c r="U37" i="3"/>
  <c r="O37" i="3"/>
  <c r="I37" i="3"/>
  <c r="AI37" i="3" s="1"/>
  <c r="AE37" i="3"/>
  <c r="Y37" i="3"/>
  <c r="Z37" i="3" s="1"/>
  <c r="S37" i="3"/>
  <c r="T37" i="3"/>
  <c r="M37" i="3"/>
  <c r="N37" i="3"/>
  <c r="G37" i="3"/>
  <c r="H37" i="3"/>
  <c r="AN37" i="3"/>
  <c r="AG36" i="3"/>
  <c r="AE36" i="3"/>
  <c r="AC36" i="3"/>
  <c r="AF36" i="3" s="1"/>
  <c r="AA36" i="3"/>
  <c r="Y36" i="3"/>
  <c r="W36" i="3"/>
  <c r="Z36" i="3" s="1"/>
  <c r="U36" i="3"/>
  <c r="S36" i="3"/>
  <c r="T36" i="3" s="1"/>
  <c r="Q36" i="3"/>
  <c r="O36" i="3"/>
  <c r="M36" i="3"/>
  <c r="K36" i="3"/>
  <c r="I36" i="3"/>
  <c r="AI36" i="3" s="1"/>
  <c r="G36" i="3"/>
  <c r="H36" i="3" s="1"/>
  <c r="E36" i="3"/>
  <c r="AN36" i="3"/>
  <c r="AO36" i="3" s="1"/>
  <c r="AQ39" i="3"/>
  <c r="AS39" i="3"/>
  <c r="AU39" i="3"/>
  <c r="AW39" i="3"/>
  <c r="AF37" i="3"/>
  <c r="N38" i="3"/>
  <c r="AF38" i="3"/>
  <c r="AM39" i="3"/>
  <c r="T39" i="3"/>
  <c r="AJ40" i="3"/>
  <c r="AJ25" i="3"/>
  <c r="AJ23" i="3"/>
  <c r="AJ14" i="3"/>
  <c r="AJ12" i="3"/>
  <c r="AJ39" i="3"/>
  <c r="AK39" i="3"/>
  <c r="AJ38" i="3"/>
  <c r="AJ37" i="3"/>
  <c r="AJ36" i="3"/>
  <c r="AG34" i="3"/>
  <c r="AE34" i="3"/>
  <c r="AD34" i="3"/>
  <c r="AA34" i="3"/>
  <c r="Y34" i="3"/>
  <c r="Z34" i="3" s="1"/>
  <c r="X34" i="3"/>
  <c r="U34" i="3"/>
  <c r="S34" i="3"/>
  <c r="R34" i="3"/>
  <c r="O34" i="3"/>
  <c r="M34" i="3"/>
  <c r="L34" i="3"/>
  <c r="N34" i="3" s="1"/>
  <c r="I34" i="3"/>
  <c r="AI34" i="3" s="1"/>
  <c r="G34" i="3"/>
  <c r="F34" i="3"/>
  <c r="AN34" i="3"/>
  <c r="AQ34" i="3"/>
  <c r="AG33" i="3"/>
  <c r="AE33" i="3"/>
  <c r="AF33" i="3"/>
  <c r="AA33" i="3"/>
  <c r="Y33" i="3"/>
  <c r="W33" i="3"/>
  <c r="U33" i="3"/>
  <c r="S33" i="3"/>
  <c r="Q33" i="3"/>
  <c r="O33" i="3"/>
  <c r="M33" i="3"/>
  <c r="L33" i="3"/>
  <c r="N33" i="3" s="1"/>
  <c r="K33" i="3"/>
  <c r="I33" i="3"/>
  <c r="G33" i="3"/>
  <c r="F33" i="3"/>
  <c r="E33" i="3"/>
  <c r="H33" i="3" s="1"/>
  <c r="AN33" i="3"/>
  <c r="AQ33" i="3"/>
  <c r="AG32" i="3"/>
  <c r="AI32" i="3" s="1"/>
  <c r="AE32" i="3"/>
  <c r="AC32" i="3"/>
  <c r="AA32" i="3"/>
  <c r="Y32" i="3"/>
  <c r="X32" i="3"/>
  <c r="Z32" i="3"/>
  <c r="U32" i="3"/>
  <c r="S32" i="3"/>
  <c r="T32" i="3" s="1"/>
  <c r="Q32" i="3"/>
  <c r="O32" i="3"/>
  <c r="M32" i="3"/>
  <c r="K32" i="3"/>
  <c r="N32" i="3"/>
  <c r="I32" i="3"/>
  <c r="G32" i="3"/>
  <c r="E32" i="3"/>
  <c r="H32" i="3" s="1"/>
  <c r="AN32" i="3"/>
  <c r="BA32" i="3"/>
  <c r="AG31" i="3"/>
  <c r="AA31" i="3"/>
  <c r="Y31" i="3"/>
  <c r="Z31" i="3"/>
  <c r="U31" i="3"/>
  <c r="S31" i="3"/>
  <c r="T31" i="3" s="1"/>
  <c r="O31" i="3"/>
  <c r="M31" i="3"/>
  <c r="N31" i="3"/>
  <c r="I31" i="3"/>
  <c r="G31" i="3"/>
  <c r="H31" i="3"/>
  <c r="AM31" i="3"/>
  <c r="AN31" i="3"/>
  <c r="AO31" i="3"/>
  <c r="AG30" i="3"/>
  <c r="AE30" i="3"/>
  <c r="AF30" i="3"/>
  <c r="AA30" i="3"/>
  <c r="Y30" i="3"/>
  <c r="Z30" i="3"/>
  <c r="U30" i="3"/>
  <c r="S30" i="3"/>
  <c r="Q30" i="3"/>
  <c r="O30" i="3"/>
  <c r="M30" i="3"/>
  <c r="K30" i="3"/>
  <c r="I30" i="3"/>
  <c r="AI30" i="3" s="1"/>
  <c r="G30" i="3"/>
  <c r="H30" i="3" s="1"/>
  <c r="E30" i="3"/>
  <c r="AG29" i="3"/>
  <c r="AE29" i="3"/>
  <c r="AC29" i="3"/>
  <c r="AA29" i="3"/>
  <c r="Y29" i="3"/>
  <c r="X29" i="3"/>
  <c r="Z29" i="3" s="1"/>
  <c r="R29" i="3"/>
  <c r="U29" i="3"/>
  <c r="S29" i="3"/>
  <c r="O29" i="3"/>
  <c r="M29" i="3"/>
  <c r="K29" i="3"/>
  <c r="N29" i="3" s="1"/>
  <c r="I29" i="3"/>
  <c r="G29" i="3"/>
  <c r="F29" i="3"/>
  <c r="E29" i="3"/>
  <c r="AN29" i="3"/>
  <c r="AS29" i="3" s="1"/>
  <c r="AG28" i="3"/>
  <c r="AE28" i="3"/>
  <c r="AC28" i="3"/>
  <c r="AF28" i="3" s="1"/>
  <c r="AA28" i="3"/>
  <c r="Y28" i="3"/>
  <c r="Z28" i="3" s="1"/>
  <c r="X28" i="3"/>
  <c r="U28" i="3"/>
  <c r="S28" i="3"/>
  <c r="Q28" i="3"/>
  <c r="O28" i="3"/>
  <c r="F28" i="3"/>
  <c r="H28" i="3" s="1"/>
  <c r="M28" i="3"/>
  <c r="N28" i="3" s="1"/>
  <c r="K28" i="3"/>
  <c r="I28" i="3"/>
  <c r="G28" i="3"/>
  <c r="AG27" i="3"/>
  <c r="AE27" i="3"/>
  <c r="AC27" i="3"/>
  <c r="AF27" i="3" s="1"/>
  <c r="AA27" i="3"/>
  <c r="Y27" i="3"/>
  <c r="Z27" i="3" s="1"/>
  <c r="W27" i="3"/>
  <c r="U27" i="3"/>
  <c r="S27" i="3"/>
  <c r="Q27" i="3"/>
  <c r="T27" i="3" s="1"/>
  <c r="O27" i="3"/>
  <c r="M27" i="3"/>
  <c r="K27" i="3"/>
  <c r="N27" i="3" s="1"/>
  <c r="I27" i="3"/>
  <c r="G27" i="3"/>
  <c r="H27" i="3" s="1"/>
  <c r="E27" i="3"/>
  <c r="AM27" i="3"/>
  <c r="AN27" i="3"/>
  <c r="AG26" i="3"/>
  <c r="AE26" i="3"/>
  <c r="AC26" i="3"/>
  <c r="AA26" i="3"/>
  <c r="Y26" i="3"/>
  <c r="W26" i="3"/>
  <c r="Z26" i="3" s="1"/>
  <c r="U26" i="3"/>
  <c r="S26" i="3"/>
  <c r="T26" i="3"/>
  <c r="Q26" i="3"/>
  <c r="O26" i="3"/>
  <c r="M26" i="3"/>
  <c r="K26" i="3"/>
  <c r="I26" i="3"/>
  <c r="AI26" i="3" s="1"/>
  <c r="G26" i="3"/>
  <c r="H26" i="3" s="1"/>
  <c r="E26" i="3"/>
  <c r="AN26" i="3"/>
  <c r="BG26" i="3" s="1"/>
  <c r="AG25" i="3"/>
  <c r="AE25" i="3"/>
  <c r="AC25" i="3"/>
  <c r="X25" i="3"/>
  <c r="Z25" i="3" s="1"/>
  <c r="AA25" i="3"/>
  <c r="Y25" i="3"/>
  <c r="U25" i="3"/>
  <c r="S25" i="3"/>
  <c r="Q25" i="3"/>
  <c r="T25" i="3" s="1"/>
  <c r="O25" i="3"/>
  <c r="M25" i="3"/>
  <c r="K25" i="3"/>
  <c r="I25" i="3"/>
  <c r="G25" i="3"/>
  <c r="H25" i="3" s="1"/>
  <c r="E25" i="3"/>
  <c r="AK25" i="3"/>
  <c r="AN25" i="3"/>
  <c r="AG24" i="3"/>
  <c r="AE24" i="3"/>
  <c r="AD24" i="3"/>
  <c r="AC24" i="3"/>
  <c r="AA24" i="3"/>
  <c r="Y24" i="3"/>
  <c r="X24" i="3"/>
  <c r="W24" i="3"/>
  <c r="Z24" i="3" s="1"/>
  <c r="S24" i="3"/>
  <c r="Q24" i="3"/>
  <c r="U24" i="3"/>
  <c r="M24" i="3"/>
  <c r="L24" i="3"/>
  <c r="K24" i="3"/>
  <c r="N24" i="3" s="1"/>
  <c r="O24" i="3"/>
  <c r="I24" i="3"/>
  <c r="G24" i="3"/>
  <c r="F24" i="3"/>
  <c r="E24" i="3"/>
  <c r="AN24" i="3"/>
  <c r="AU24" i="3"/>
  <c r="AG23" i="3"/>
  <c r="AA23" i="3"/>
  <c r="U23" i="3"/>
  <c r="O23" i="3"/>
  <c r="I23" i="3"/>
  <c r="M23" i="3"/>
  <c r="K23" i="3"/>
  <c r="Q23" i="3"/>
  <c r="T23" i="3"/>
  <c r="AH23" i="3" s="1"/>
  <c r="W23" i="3"/>
  <c r="Z23" i="3" s="1"/>
  <c r="AE23" i="3"/>
  <c r="AC23" i="3"/>
  <c r="AF23" i="3" s="1"/>
  <c r="G23" i="3"/>
  <c r="E23" i="3"/>
  <c r="H23" i="3" s="1"/>
  <c r="AN23" i="3"/>
  <c r="AS23" i="3"/>
  <c r="AE22" i="3"/>
  <c r="AF22" i="3" s="1"/>
  <c r="AC22" i="3"/>
  <c r="Y22" i="3"/>
  <c r="W22" i="3"/>
  <c r="S22" i="3"/>
  <c r="Q22" i="3"/>
  <c r="T22" i="3"/>
  <c r="M22" i="3"/>
  <c r="K22" i="3"/>
  <c r="E22" i="3"/>
  <c r="G22" i="3"/>
  <c r="AG22" i="3"/>
  <c r="AA22" i="3"/>
  <c r="U22" i="3"/>
  <c r="O22" i="3"/>
  <c r="I22" i="3"/>
  <c r="AI22" i="3" s="1"/>
  <c r="AN22" i="3"/>
  <c r="AE21" i="3"/>
  <c r="AC21" i="3"/>
  <c r="Y21" i="3"/>
  <c r="W21" i="3"/>
  <c r="Z21" i="3" s="1"/>
  <c r="S21" i="3"/>
  <c r="Q21" i="3"/>
  <c r="T21" i="3"/>
  <c r="AH21" i="3" s="1"/>
  <c r="M21" i="3"/>
  <c r="K21" i="3"/>
  <c r="G21" i="3"/>
  <c r="E21" i="3"/>
  <c r="AG21" i="3"/>
  <c r="AA21" i="3"/>
  <c r="U21" i="3"/>
  <c r="O21" i="3"/>
  <c r="I21" i="3"/>
  <c r="AN21" i="3"/>
  <c r="BI21" i="3"/>
  <c r="BG8" i="3"/>
  <c r="BI8" i="3"/>
  <c r="BK8" i="3"/>
  <c r="BG9" i="3"/>
  <c r="BI9" i="3"/>
  <c r="BK9" i="3"/>
  <c r="BG28" i="3"/>
  <c r="BI28" i="3"/>
  <c r="BK28" i="3"/>
  <c r="BG29" i="3"/>
  <c r="BI29" i="3"/>
  <c r="BK29" i="3"/>
  <c r="BG30" i="3"/>
  <c r="BI30" i="3"/>
  <c r="BK30" i="3"/>
  <c r="BK31" i="3"/>
  <c r="BG32" i="3"/>
  <c r="BI32" i="3"/>
  <c r="BK34" i="3"/>
  <c r="AE20" i="3"/>
  <c r="AC20" i="3"/>
  <c r="AG20" i="3"/>
  <c r="W20" i="3"/>
  <c r="Z20" i="3"/>
  <c r="AA20" i="3"/>
  <c r="S20" i="3"/>
  <c r="Q20" i="3"/>
  <c r="U20" i="3"/>
  <c r="M20" i="3"/>
  <c r="K20" i="3"/>
  <c r="O20" i="3"/>
  <c r="G20" i="3"/>
  <c r="H20" i="3" s="1"/>
  <c r="F20" i="3"/>
  <c r="E20" i="3"/>
  <c r="I20" i="3"/>
  <c r="AN20" i="3"/>
  <c r="AW20" i="3"/>
  <c r="R19" i="3"/>
  <c r="AE19" i="3"/>
  <c r="AD19" i="3"/>
  <c r="AG19" i="3"/>
  <c r="AA19" i="3"/>
  <c r="Y19" i="3"/>
  <c r="Z19" i="3" s="1"/>
  <c r="U19" i="3"/>
  <c r="S19" i="3"/>
  <c r="T19" i="3" s="1"/>
  <c r="O19" i="3"/>
  <c r="K19" i="3"/>
  <c r="N19" i="3" s="1"/>
  <c r="I19" i="3"/>
  <c r="G19" i="3"/>
  <c r="H19" i="3" s="1"/>
  <c r="AM19" i="3" s="1"/>
  <c r="E19" i="3"/>
  <c r="AL19" i="3"/>
  <c r="AN19" i="3"/>
  <c r="AG18" i="3"/>
  <c r="AE18" i="3"/>
  <c r="AC18" i="3"/>
  <c r="AA18" i="3"/>
  <c r="Y18" i="3"/>
  <c r="W18" i="3"/>
  <c r="Z18" i="3" s="1"/>
  <c r="U18" i="3"/>
  <c r="AI18" i="3" s="1"/>
  <c r="S18" i="3"/>
  <c r="T18" i="3" s="1"/>
  <c r="Q18" i="3"/>
  <c r="O18" i="3"/>
  <c r="M18" i="3"/>
  <c r="K18" i="3"/>
  <c r="I18" i="3"/>
  <c r="G18" i="3"/>
  <c r="E18" i="3"/>
  <c r="AN18" i="3"/>
  <c r="AG17" i="3"/>
  <c r="AA17" i="3"/>
  <c r="U17" i="3"/>
  <c r="O17" i="3"/>
  <c r="I17" i="3"/>
  <c r="AI17" i="3" s="1"/>
  <c r="AE17" i="3"/>
  <c r="AF17" i="3" s="1"/>
  <c r="Y17" i="3"/>
  <c r="Z17" i="3" s="1"/>
  <c r="W17" i="3"/>
  <c r="S17" i="3"/>
  <c r="Q17" i="3"/>
  <c r="M17" i="3"/>
  <c r="K17" i="3"/>
  <c r="N17" i="3" s="1"/>
  <c r="G17" i="3"/>
  <c r="E17" i="3"/>
  <c r="AN17" i="3"/>
  <c r="AW17" i="3"/>
  <c r="AG16" i="3"/>
  <c r="AA16" i="3"/>
  <c r="U16" i="3"/>
  <c r="O16" i="3"/>
  <c r="I16" i="3"/>
  <c r="AI16" i="3" s="1"/>
  <c r="G16" i="3"/>
  <c r="H16" i="3" s="1"/>
  <c r="AM16" i="3" s="1"/>
  <c r="E16" i="3"/>
  <c r="M16" i="3"/>
  <c r="N16" i="3" s="1"/>
  <c r="K16" i="3"/>
  <c r="S16" i="3"/>
  <c r="Q16" i="3"/>
  <c r="T16" i="3" s="1"/>
  <c r="Y16" i="3"/>
  <c r="W16" i="3"/>
  <c r="Z16" i="3" s="1"/>
  <c r="AH16" i="3" s="1"/>
  <c r="AE16" i="3"/>
  <c r="AC16" i="3"/>
  <c r="AN16" i="3"/>
  <c r="AY16" i="3"/>
  <c r="AG15" i="3"/>
  <c r="AA15" i="3"/>
  <c r="U15" i="3"/>
  <c r="O15" i="3"/>
  <c r="AI15" i="3" s="1"/>
  <c r="I15" i="3"/>
  <c r="G15" i="3"/>
  <c r="F15" i="3"/>
  <c r="M15" i="3"/>
  <c r="N15" i="3"/>
  <c r="S15" i="3"/>
  <c r="T15" i="3"/>
  <c r="Y15" i="3"/>
  <c r="Z15" i="3" s="1"/>
  <c r="AE15" i="3"/>
  <c r="AF15" i="3" s="1"/>
  <c r="AN15" i="3"/>
  <c r="AO15" i="3"/>
  <c r="AG14" i="3"/>
  <c r="AA14" i="3"/>
  <c r="U14" i="3"/>
  <c r="O14" i="3"/>
  <c r="I14" i="3"/>
  <c r="G14" i="3"/>
  <c r="E14" i="3"/>
  <c r="M14" i="3"/>
  <c r="K14" i="3"/>
  <c r="S14" i="3"/>
  <c r="Q14" i="3"/>
  <c r="T14" i="3" s="1"/>
  <c r="Y14" i="3"/>
  <c r="W14" i="3"/>
  <c r="AE14" i="3"/>
  <c r="AC14" i="3"/>
  <c r="AN14" i="3"/>
  <c r="AW14" i="3"/>
  <c r="AG13" i="3"/>
  <c r="AA13" i="3"/>
  <c r="AI13" i="3" s="1"/>
  <c r="U13" i="3"/>
  <c r="O13" i="3"/>
  <c r="I13" i="3"/>
  <c r="AE13" i="3"/>
  <c r="AC13" i="3"/>
  <c r="AF13" i="3" s="1"/>
  <c r="Y13" i="3"/>
  <c r="W13" i="3"/>
  <c r="S13" i="3"/>
  <c r="T13" i="3" s="1"/>
  <c r="M13" i="3"/>
  <c r="K13" i="3"/>
  <c r="G13" i="3"/>
  <c r="E13" i="3"/>
  <c r="AN13" i="3"/>
  <c r="AS13" i="3"/>
  <c r="AN10" i="3"/>
  <c r="AN12" i="3"/>
  <c r="BE12" i="3" s="1"/>
  <c r="AN11" i="3"/>
  <c r="AQ11" i="3"/>
  <c r="AU9" i="3"/>
  <c r="AN7" i="3"/>
  <c r="AN6" i="3"/>
  <c r="AW6" i="3"/>
  <c r="AN5" i="3"/>
  <c r="AQ5" i="3"/>
  <c r="AO8" i="3"/>
  <c r="AQ8" i="3"/>
  <c r="AR8" i="3" s="1"/>
  <c r="AS8" i="3"/>
  <c r="AU8" i="3"/>
  <c r="AW8" i="3"/>
  <c r="AY8" i="3"/>
  <c r="BA8" i="3"/>
  <c r="BC8" i="3"/>
  <c r="BE8" i="3"/>
  <c r="AO9" i="3"/>
  <c r="AQ9" i="3"/>
  <c r="AS9" i="3"/>
  <c r="AW9" i="3"/>
  <c r="AY9" i="3"/>
  <c r="BA9" i="3"/>
  <c r="BC9" i="3"/>
  <c r="BE9" i="3"/>
  <c r="BA10" i="3"/>
  <c r="BC11" i="3"/>
  <c r="AW15" i="3"/>
  <c r="AQ16" i="3"/>
  <c r="AQ20" i="3"/>
  <c r="BE21" i="3"/>
  <c r="BC22" i="3"/>
  <c r="AW26" i="3"/>
  <c r="AW27" i="3"/>
  <c r="AO28" i="3"/>
  <c r="AQ28" i="3"/>
  <c r="AS28" i="3"/>
  <c r="AU28" i="3"/>
  <c r="AW28" i="3"/>
  <c r="AY28" i="3"/>
  <c r="BA28" i="3"/>
  <c r="BC28" i="3"/>
  <c r="BD28" i="3" s="1"/>
  <c r="BE28" i="3"/>
  <c r="BA29" i="3"/>
  <c r="BC29" i="3"/>
  <c r="BE29" i="3"/>
  <c r="AO30" i="3"/>
  <c r="AQ30" i="3"/>
  <c r="AS30" i="3"/>
  <c r="AU30" i="3"/>
  <c r="AW30" i="3"/>
  <c r="AY30" i="3"/>
  <c r="BA30" i="3"/>
  <c r="BC30" i="3"/>
  <c r="BE30" i="3"/>
  <c r="AY31" i="3"/>
  <c r="BA31" i="3"/>
  <c r="BC31" i="3"/>
  <c r="AW32" i="3"/>
  <c r="AY32" i="3"/>
  <c r="BE32" i="3"/>
  <c r="I11" i="3"/>
  <c r="O11" i="3"/>
  <c r="AI11" i="3" s="1"/>
  <c r="U11" i="3"/>
  <c r="AA11" i="3"/>
  <c r="AG11" i="3"/>
  <c r="I10" i="3"/>
  <c r="O10" i="3"/>
  <c r="U10" i="3"/>
  <c r="AA10" i="3"/>
  <c r="AG10" i="3"/>
  <c r="AG9" i="3"/>
  <c r="AA9" i="3"/>
  <c r="U9" i="3"/>
  <c r="O9" i="3"/>
  <c r="I9" i="3"/>
  <c r="I8" i="3"/>
  <c r="O8" i="3"/>
  <c r="U8" i="3"/>
  <c r="AA8" i="3"/>
  <c r="AG8" i="3"/>
  <c r="AG7" i="3"/>
  <c r="AA7" i="3"/>
  <c r="U7" i="3"/>
  <c r="O7" i="3"/>
  <c r="I7" i="3"/>
  <c r="AI7" i="3" s="1"/>
  <c r="I6" i="3"/>
  <c r="O6" i="3"/>
  <c r="U6" i="3"/>
  <c r="AA6" i="3"/>
  <c r="AG6" i="3"/>
  <c r="I5" i="3"/>
  <c r="O5" i="3"/>
  <c r="U5" i="3"/>
  <c r="AA5" i="3"/>
  <c r="AG5" i="3"/>
  <c r="AG12" i="3"/>
  <c r="AA12" i="3"/>
  <c r="U12" i="3"/>
  <c r="O12" i="3"/>
  <c r="I12" i="3"/>
  <c r="AI12" i="3" s="1"/>
  <c r="G12" i="3"/>
  <c r="E12" i="3"/>
  <c r="M12" i="3"/>
  <c r="K12" i="3"/>
  <c r="S12" i="3"/>
  <c r="Q12" i="3"/>
  <c r="Y12" i="3"/>
  <c r="W12" i="3"/>
  <c r="Z12" i="3" s="1"/>
  <c r="AE12" i="3"/>
  <c r="AC12" i="3"/>
  <c r="AF12" i="3" s="1"/>
  <c r="G11" i="3"/>
  <c r="E11" i="3"/>
  <c r="M11" i="3"/>
  <c r="K11" i="3"/>
  <c r="S11" i="3"/>
  <c r="Q11" i="3"/>
  <c r="T11" i="3" s="1"/>
  <c r="Y11" i="3"/>
  <c r="W11" i="3"/>
  <c r="Z11" i="3" s="1"/>
  <c r="AE11" i="3"/>
  <c r="AC11" i="3"/>
  <c r="E10" i="3"/>
  <c r="H10" i="3"/>
  <c r="AM10" i="3" s="1"/>
  <c r="M10" i="3"/>
  <c r="K10" i="3"/>
  <c r="S10" i="3"/>
  <c r="T10" i="3" s="1"/>
  <c r="Q10" i="3"/>
  <c r="Y10" i="3"/>
  <c r="W10" i="3"/>
  <c r="AE10" i="3"/>
  <c r="AC10" i="3"/>
  <c r="AF10" i="3" s="1"/>
  <c r="G9" i="3"/>
  <c r="E9" i="3"/>
  <c r="M9" i="3"/>
  <c r="K9" i="3"/>
  <c r="S9" i="3"/>
  <c r="Q9" i="3"/>
  <c r="Y9" i="3"/>
  <c r="W9" i="3"/>
  <c r="Z9" i="3" s="1"/>
  <c r="AE9" i="3"/>
  <c r="AC9" i="3"/>
  <c r="G8" i="3"/>
  <c r="H8" i="3" s="1"/>
  <c r="M8" i="3"/>
  <c r="N8" i="3"/>
  <c r="S8" i="3"/>
  <c r="T8" i="3"/>
  <c r="Y8" i="3"/>
  <c r="Z8" i="3"/>
  <c r="AE8" i="3"/>
  <c r="AF8" i="3"/>
  <c r="G7" i="3"/>
  <c r="H7" i="3"/>
  <c r="M7" i="3"/>
  <c r="N7" i="3"/>
  <c r="S7" i="3"/>
  <c r="T7" i="3" s="1"/>
  <c r="AH7" i="3" s="1"/>
  <c r="Y7" i="3"/>
  <c r="Z7" i="3" s="1"/>
  <c r="AE7" i="3"/>
  <c r="AF7" i="3"/>
  <c r="G6" i="3"/>
  <c r="E6" i="3"/>
  <c r="M6" i="3"/>
  <c r="N6" i="3" s="1"/>
  <c r="K6" i="3"/>
  <c r="S6" i="3"/>
  <c r="Q6" i="3"/>
  <c r="Y6" i="3"/>
  <c r="W6" i="3"/>
  <c r="Z6" i="3" s="1"/>
  <c r="AE6" i="3"/>
  <c r="AC6" i="3"/>
  <c r="AF26" i="3"/>
  <c r="AF31" i="3"/>
  <c r="Z33" i="3"/>
  <c r="T28" i="3"/>
  <c r="T30" i="3"/>
  <c r="F5" i="3"/>
  <c r="H5" i="3" s="1"/>
  <c r="Y5" i="3"/>
  <c r="W5" i="3"/>
  <c r="AE5" i="3"/>
  <c r="AD5" i="3"/>
  <c r="AF5" i="3" s="1"/>
  <c r="S5" i="3"/>
  <c r="Q5" i="3"/>
  <c r="L5" i="3"/>
  <c r="N5" i="3" s="1"/>
  <c r="M5" i="3"/>
  <c r="H76" i="1"/>
  <c r="G76" i="1"/>
  <c r="F76" i="1"/>
  <c r="E76" i="1"/>
  <c r="D76" i="1"/>
  <c r="J76" i="1"/>
  <c r="H75" i="1"/>
  <c r="G75" i="1"/>
  <c r="F75" i="1"/>
  <c r="E75" i="1"/>
  <c r="D75" i="1"/>
  <c r="J75" i="1"/>
  <c r="H74" i="1"/>
  <c r="G74" i="1"/>
  <c r="F74" i="1"/>
  <c r="E74" i="1"/>
  <c r="D74" i="1"/>
  <c r="J74" i="1"/>
  <c r="H73" i="1"/>
  <c r="G73" i="1"/>
  <c r="F73" i="1"/>
  <c r="E73" i="1"/>
  <c r="D73" i="1"/>
  <c r="J73" i="1"/>
  <c r="H72" i="1"/>
  <c r="G72" i="1"/>
  <c r="F72" i="1"/>
  <c r="E72" i="1"/>
  <c r="D72" i="1"/>
  <c r="J72" i="1"/>
  <c r="H71" i="1"/>
  <c r="G71" i="1"/>
  <c r="F71" i="1"/>
  <c r="E71" i="1"/>
  <c r="D71" i="1"/>
  <c r="J71" i="1"/>
  <c r="H70" i="1"/>
  <c r="G70" i="1"/>
  <c r="F70" i="1"/>
  <c r="E70" i="1"/>
  <c r="D70" i="1"/>
  <c r="J70" i="1"/>
  <c r="H69" i="1"/>
  <c r="G69" i="1"/>
  <c r="F69" i="1"/>
  <c r="E69" i="1"/>
  <c r="D69" i="1"/>
  <c r="J69" i="1"/>
  <c r="H68" i="1"/>
  <c r="G68" i="1"/>
  <c r="F68" i="1"/>
  <c r="E68" i="1"/>
  <c r="D68" i="1"/>
  <c r="J68" i="1"/>
  <c r="H67" i="1"/>
  <c r="G67" i="1"/>
  <c r="F67" i="1"/>
  <c r="E67" i="1"/>
  <c r="D67" i="1"/>
  <c r="J67" i="1"/>
  <c r="H66" i="1"/>
  <c r="G66" i="1"/>
  <c r="F66" i="1"/>
  <c r="E66" i="1"/>
  <c r="D66" i="1"/>
  <c r="J66" i="1"/>
  <c r="H65" i="1"/>
  <c r="G65" i="1"/>
  <c r="F65" i="1"/>
  <c r="E65" i="1"/>
  <c r="D65" i="1"/>
  <c r="J65" i="1"/>
  <c r="H64" i="1"/>
  <c r="G64" i="1"/>
  <c r="F64" i="1"/>
  <c r="E64" i="1"/>
  <c r="D64" i="1"/>
  <c r="J64" i="1"/>
  <c r="H63" i="1"/>
  <c r="G63" i="1"/>
  <c r="F63" i="1"/>
  <c r="E63" i="1"/>
  <c r="D63" i="1"/>
  <c r="H62" i="1"/>
  <c r="G62" i="1"/>
  <c r="F62" i="1"/>
  <c r="E62" i="1"/>
  <c r="D62" i="1"/>
  <c r="J62" i="1"/>
  <c r="H61" i="1"/>
  <c r="G61" i="1"/>
  <c r="F61" i="1"/>
  <c r="E61" i="1"/>
  <c r="D61" i="1"/>
  <c r="J61" i="1"/>
  <c r="H60" i="1"/>
  <c r="G60" i="1"/>
  <c r="F60" i="1"/>
  <c r="E60" i="1"/>
  <c r="D60" i="1"/>
  <c r="J60" i="1"/>
  <c r="H59" i="1"/>
  <c r="G59" i="1"/>
  <c r="F59" i="1"/>
  <c r="E59" i="1"/>
  <c r="D59" i="1"/>
  <c r="J59" i="1"/>
  <c r="H58" i="1"/>
  <c r="F58" i="1"/>
  <c r="E58" i="1"/>
  <c r="D58" i="1"/>
  <c r="J58" i="1"/>
  <c r="H57" i="1"/>
  <c r="G57" i="1"/>
  <c r="F57" i="1"/>
  <c r="E57" i="1"/>
  <c r="D57" i="1"/>
  <c r="J57" i="1"/>
  <c r="H56" i="1"/>
  <c r="G56" i="1"/>
  <c r="F56" i="1"/>
  <c r="E56" i="1"/>
  <c r="D56" i="1"/>
  <c r="J56" i="1"/>
  <c r="H55" i="1"/>
  <c r="E55" i="1"/>
  <c r="D55" i="1"/>
  <c r="J55" i="1"/>
  <c r="H54" i="1"/>
  <c r="G54" i="1"/>
  <c r="F54" i="1"/>
  <c r="E54" i="1"/>
  <c r="D54" i="1"/>
  <c r="J54" i="1"/>
  <c r="H53" i="1"/>
  <c r="G53" i="1"/>
  <c r="F53" i="1"/>
  <c r="E53" i="1"/>
  <c r="D53" i="1"/>
  <c r="J53" i="1"/>
  <c r="H52" i="1"/>
  <c r="G52" i="1"/>
  <c r="F52" i="1"/>
  <c r="E52" i="1"/>
  <c r="D52" i="1"/>
  <c r="J52" i="1"/>
  <c r="H51" i="1"/>
  <c r="G51" i="1"/>
  <c r="F51" i="1"/>
  <c r="E51" i="1"/>
  <c r="D51" i="1"/>
  <c r="J51" i="1"/>
  <c r="H50" i="1"/>
  <c r="G50" i="1"/>
  <c r="F50" i="1"/>
  <c r="E50" i="1"/>
  <c r="D50" i="1"/>
  <c r="J50" i="1"/>
  <c r="H49" i="1"/>
  <c r="G49" i="1"/>
  <c r="F49" i="1"/>
  <c r="E49" i="1"/>
  <c r="D49" i="1"/>
  <c r="J49" i="1"/>
  <c r="H48" i="1"/>
  <c r="G48" i="1"/>
  <c r="F48" i="1"/>
  <c r="E48" i="1"/>
  <c r="D48" i="1"/>
  <c r="J48" i="1"/>
  <c r="H47" i="1"/>
  <c r="G47" i="1"/>
  <c r="F47" i="1"/>
  <c r="E47" i="1"/>
  <c r="D47" i="1"/>
  <c r="J47" i="1"/>
  <c r="H46" i="1"/>
  <c r="G46" i="1"/>
  <c r="F46" i="1"/>
  <c r="E46" i="1"/>
  <c r="D46" i="1"/>
  <c r="J46" i="1"/>
  <c r="H45" i="1"/>
  <c r="G45" i="1"/>
  <c r="F45" i="1"/>
  <c r="E45" i="1"/>
  <c r="D45" i="1"/>
  <c r="J45" i="1"/>
  <c r="H44" i="1"/>
  <c r="G44" i="1"/>
  <c r="F44" i="1"/>
  <c r="E44" i="1"/>
  <c r="D44" i="1"/>
  <c r="J44" i="1"/>
  <c r="H43" i="1"/>
  <c r="G43" i="1"/>
  <c r="E43" i="1"/>
  <c r="D43" i="1"/>
  <c r="J43" i="1"/>
  <c r="H42" i="1"/>
  <c r="G42" i="1"/>
  <c r="F42" i="1"/>
  <c r="E42" i="1"/>
  <c r="D42" i="1"/>
  <c r="J42" i="1"/>
  <c r="H41" i="1"/>
  <c r="G41" i="1"/>
  <c r="F41" i="1"/>
  <c r="E41" i="1"/>
  <c r="D41" i="1"/>
  <c r="J41" i="1"/>
  <c r="H40" i="1"/>
  <c r="G40" i="1"/>
  <c r="F40" i="1"/>
  <c r="E40" i="1"/>
  <c r="D40" i="1"/>
  <c r="J40" i="1"/>
  <c r="H39" i="1"/>
  <c r="G39" i="1"/>
  <c r="F39" i="1"/>
  <c r="E39" i="1"/>
  <c r="D39" i="1"/>
  <c r="J39" i="1"/>
  <c r="H38" i="1"/>
  <c r="G38" i="1"/>
  <c r="F38" i="1"/>
  <c r="E38" i="1"/>
  <c r="D38" i="1"/>
  <c r="J38" i="1"/>
  <c r="H36" i="1"/>
  <c r="G36" i="1"/>
  <c r="F36" i="1"/>
  <c r="E36" i="1"/>
  <c r="D36" i="1"/>
  <c r="J36" i="1"/>
  <c r="H35" i="1"/>
  <c r="G35" i="1"/>
  <c r="F35" i="1"/>
  <c r="E35" i="1"/>
  <c r="J35" i="1"/>
  <c r="H34" i="1"/>
  <c r="G34" i="1"/>
  <c r="F34" i="1"/>
  <c r="E34" i="1"/>
  <c r="D34" i="1"/>
  <c r="J34" i="1"/>
  <c r="H33" i="1"/>
  <c r="G33" i="1"/>
  <c r="F33" i="1"/>
  <c r="E33" i="1"/>
  <c r="D33" i="1"/>
  <c r="J33" i="1"/>
  <c r="H32" i="1"/>
  <c r="G32" i="1"/>
  <c r="F32" i="1"/>
  <c r="E32" i="1"/>
  <c r="D32" i="1"/>
  <c r="J32" i="1"/>
  <c r="H31" i="1"/>
  <c r="G31" i="1"/>
  <c r="F31" i="1"/>
  <c r="E31" i="1"/>
  <c r="D31" i="1"/>
  <c r="J31" i="1"/>
  <c r="D30" i="1"/>
  <c r="H30" i="1"/>
  <c r="G30" i="1"/>
  <c r="F30" i="1"/>
  <c r="E30" i="1"/>
  <c r="J30" i="1"/>
  <c r="H29" i="1"/>
  <c r="G29" i="1"/>
  <c r="F29" i="1"/>
  <c r="E29" i="1"/>
  <c r="J29" i="1"/>
  <c r="H28" i="1"/>
  <c r="G28" i="1"/>
  <c r="F28" i="1"/>
  <c r="E28" i="1"/>
  <c r="D28" i="1"/>
  <c r="J28" i="1"/>
  <c r="H27" i="1"/>
  <c r="G27" i="1"/>
  <c r="F27" i="1"/>
  <c r="E27" i="1"/>
  <c r="D27" i="1"/>
  <c r="J27" i="1"/>
  <c r="H26" i="1"/>
  <c r="G26" i="1"/>
  <c r="F26" i="1"/>
  <c r="E26" i="1"/>
  <c r="D26" i="1"/>
  <c r="J26" i="1"/>
  <c r="H25" i="1"/>
  <c r="G25" i="1"/>
  <c r="F25" i="1"/>
  <c r="E25" i="1"/>
  <c r="D25" i="1"/>
  <c r="J25" i="1"/>
  <c r="H24" i="1"/>
  <c r="G24" i="1"/>
  <c r="F24" i="1"/>
  <c r="E24" i="1"/>
  <c r="D24" i="1"/>
  <c r="J24" i="1"/>
  <c r="H23" i="1"/>
  <c r="G23" i="1"/>
  <c r="F23" i="1"/>
  <c r="E23" i="1"/>
  <c r="D23" i="1"/>
  <c r="J23" i="1"/>
  <c r="H22" i="1"/>
  <c r="G22" i="1"/>
  <c r="F22" i="1"/>
  <c r="E22" i="1"/>
  <c r="D22" i="1"/>
  <c r="J22" i="1"/>
  <c r="H21" i="1"/>
  <c r="G21" i="1"/>
  <c r="F21" i="1"/>
  <c r="E21" i="1"/>
  <c r="D21" i="1"/>
  <c r="J21" i="1"/>
  <c r="H20" i="1"/>
  <c r="G20" i="1"/>
  <c r="F20" i="1"/>
  <c r="E20" i="1"/>
  <c r="D20" i="1"/>
  <c r="J20" i="1"/>
  <c r="H19" i="1"/>
  <c r="G19" i="1"/>
  <c r="F19" i="1"/>
  <c r="E19" i="1"/>
  <c r="D19" i="1"/>
  <c r="J19" i="1"/>
  <c r="H18" i="1"/>
  <c r="G18" i="1"/>
  <c r="F18" i="1"/>
  <c r="E18" i="1"/>
  <c r="D18" i="1"/>
  <c r="J18" i="1"/>
  <c r="H17" i="1"/>
  <c r="G17" i="1"/>
  <c r="E17" i="1"/>
  <c r="J17" i="1"/>
  <c r="H16" i="1"/>
  <c r="G16" i="1"/>
  <c r="F16" i="1"/>
  <c r="E16" i="1"/>
  <c r="J16" i="1"/>
  <c r="H15" i="1"/>
  <c r="G15" i="1"/>
  <c r="F15" i="1"/>
  <c r="E15" i="1"/>
  <c r="D15" i="1"/>
  <c r="J15" i="1"/>
  <c r="H14" i="1"/>
  <c r="G14" i="1"/>
  <c r="F14" i="1"/>
  <c r="E14" i="1"/>
  <c r="J14" i="1"/>
  <c r="H13" i="1"/>
  <c r="G13" i="1"/>
  <c r="E13" i="1"/>
  <c r="J13" i="1"/>
  <c r="G12" i="1"/>
  <c r="F12" i="1"/>
  <c r="E12" i="1"/>
  <c r="D12" i="1"/>
  <c r="H12" i="1"/>
  <c r="J12" i="1"/>
  <c r="H11" i="1"/>
  <c r="G11" i="1"/>
  <c r="F11" i="1"/>
  <c r="E11" i="1"/>
  <c r="D11" i="1"/>
  <c r="J11" i="1"/>
  <c r="H10" i="1"/>
  <c r="G10" i="1"/>
  <c r="F10" i="1"/>
  <c r="E10" i="1"/>
  <c r="D10" i="1"/>
  <c r="H9" i="1"/>
  <c r="G9" i="1"/>
  <c r="F9" i="1"/>
  <c r="E9" i="1"/>
  <c r="D9" i="1"/>
  <c r="J9" i="1"/>
  <c r="H8" i="1"/>
  <c r="G8" i="1"/>
  <c r="F8" i="1"/>
  <c r="E8" i="1"/>
  <c r="D8" i="1"/>
  <c r="E7" i="1"/>
  <c r="J7" i="1"/>
  <c r="AQ51" i="3"/>
  <c r="BC51" i="3"/>
  <c r="AW47" i="3"/>
  <c r="BI46" i="3"/>
  <c r="AK53" i="3"/>
  <c r="AK56" i="3"/>
  <c r="AM56" i="3"/>
  <c r="AO20" i="3"/>
  <c r="BA34" i="3"/>
  <c r="AK37" i="3"/>
  <c r="T9" i="3"/>
  <c r="AS20" i="3"/>
  <c r="AF18" i="3"/>
  <c r="BK20" i="3"/>
  <c r="AM37" i="3"/>
  <c r="BE62" i="3"/>
  <c r="AO62" i="3"/>
  <c r="BE57" i="3"/>
  <c r="BG54" i="3"/>
  <c r="AQ54" i="3"/>
  <c r="AI54" i="3"/>
  <c r="AS53" i="3"/>
  <c r="BI52" i="3"/>
  <c r="BE50" i="3"/>
  <c r="AO50" i="3"/>
  <c r="AS46" i="3"/>
  <c r="AI46" i="3"/>
  <c r="BE54" i="3"/>
  <c r="AO54" i="3"/>
  <c r="AO53" i="3"/>
  <c r="BK46" i="3"/>
  <c r="AO46" i="3"/>
  <c r="AI43" i="3"/>
  <c r="AI59" i="3"/>
  <c r="N53" i="3"/>
  <c r="BC46" i="3"/>
  <c r="AW62" i="3"/>
  <c r="AI57" i="3"/>
  <c r="AY54" i="3"/>
  <c r="Z53" i="3"/>
  <c r="Z48" i="3"/>
  <c r="N45" i="3"/>
  <c r="AU32" i="3"/>
  <c r="AY29" i="3"/>
  <c r="AF32" i="3"/>
  <c r="BK62" i="3"/>
  <c r="AU62" i="3"/>
  <c r="H62" i="3"/>
  <c r="AK62" i="3"/>
  <c r="N60" i="3"/>
  <c r="H55" i="3"/>
  <c r="AM55" i="3"/>
  <c r="AW54" i="3"/>
  <c r="AX54" i="3" s="1"/>
  <c r="BA53" i="3"/>
  <c r="AM53" i="3"/>
  <c r="AY51" i="3"/>
  <c r="BK50" i="3"/>
  <c r="AU50" i="3"/>
  <c r="AI50" i="3"/>
  <c r="AU47" i="3"/>
  <c r="BA46" i="3"/>
  <c r="Z45" i="3"/>
  <c r="AI45" i="3"/>
  <c r="BI42" i="3"/>
  <c r="T17" i="3"/>
  <c r="Z58" i="3"/>
  <c r="BE53" i="3"/>
  <c r="BA33" i="3"/>
  <c r="AQ29" i="3"/>
  <c r="BI62" i="3"/>
  <c r="AS62" i="3"/>
  <c r="AI62" i="3"/>
  <c r="Z60" i="3"/>
  <c r="BA58" i="3"/>
  <c r="H58" i="3"/>
  <c r="BK54" i="3"/>
  <c r="AU54" i="3"/>
  <c r="AU51" i="3"/>
  <c r="BI50" i="3"/>
  <c r="AS50" i="3"/>
  <c r="N50" i="3"/>
  <c r="AS47" i="3"/>
  <c r="AI47" i="3"/>
  <c r="AW46" i="3"/>
  <c r="H44" i="3"/>
  <c r="AM44" i="3"/>
  <c r="BA42" i="3"/>
  <c r="AM25" i="3"/>
  <c r="Z57" i="3"/>
  <c r="AI53" i="3"/>
  <c r="AW50" i="3"/>
  <c r="AI48" i="3"/>
  <c r="AY33" i="3"/>
  <c r="AO29" i="3"/>
  <c r="BE20" i="3"/>
  <c r="BK27" i="3"/>
  <c r="N21" i="3"/>
  <c r="T24" i="3"/>
  <c r="AW40" i="3"/>
  <c r="BG62" i="3"/>
  <c r="BC60" i="3"/>
  <c r="AI60" i="3"/>
  <c r="AI58" i="3"/>
  <c r="Z56" i="3"/>
  <c r="AI55" i="3"/>
  <c r="BI54" i="3"/>
  <c r="N54" i="3"/>
  <c r="AH54" i="3" s="1"/>
  <c r="BG50" i="3"/>
  <c r="BK47" i="3"/>
  <c r="AO47" i="3"/>
  <c r="Z47" i="3"/>
  <c r="AU46" i="3"/>
  <c r="N46" i="3"/>
  <c r="AS42" i="3"/>
  <c r="AK58" i="3"/>
  <c r="AM58" i="3"/>
  <c r="AU61" i="3"/>
  <c r="BC61" i="3"/>
  <c r="BK61" i="3"/>
  <c r="AQ61" i="3"/>
  <c r="AY61" i="3"/>
  <c r="BG61" i="3"/>
  <c r="AS61" i="3"/>
  <c r="AW61" i="3"/>
  <c r="BE61" i="3"/>
  <c r="BA61" i="3"/>
  <c r="AM59" i="3"/>
  <c r="AO44" i="3"/>
  <c r="AW44" i="3"/>
  <c r="BE44" i="3"/>
  <c r="AQ44" i="3"/>
  <c r="AY44" i="3"/>
  <c r="BG44" i="3"/>
  <c r="BA44" i="3"/>
  <c r="BI44" i="3"/>
  <c r="BC44" i="3"/>
  <c r="AS44" i="3"/>
  <c r="AU44" i="3"/>
  <c r="AO55" i="3"/>
  <c r="AW55" i="3"/>
  <c r="BE55" i="3"/>
  <c r="AS55" i="3"/>
  <c r="BA55" i="3"/>
  <c r="BI55" i="3"/>
  <c r="AU55" i="3"/>
  <c r="BG55" i="3"/>
  <c r="AQ55" i="3"/>
  <c r="BC55" i="3"/>
  <c r="BK55" i="3"/>
  <c r="AK59" i="3"/>
  <c r="AK47" i="3"/>
  <c r="AM47" i="3"/>
  <c r="BI61" i="3"/>
  <c r="AM61" i="3"/>
  <c r="AK61" i="3"/>
  <c r="AO61" i="3"/>
  <c r="N56" i="3"/>
  <c r="AH56" i="3" s="1"/>
  <c r="BC52" i="3"/>
  <c r="AS52" i="3"/>
  <c r="AU52" i="3"/>
  <c r="BE52" i="3"/>
  <c r="BG52" i="3"/>
  <c r="AO52" i="3"/>
  <c r="BK52" i="3"/>
  <c r="AQ52" i="3"/>
  <c r="BA52" i="3"/>
  <c r="BK44" i="3"/>
  <c r="AK48" i="3"/>
  <c r="AI61" i="3"/>
  <c r="AS48" i="3"/>
  <c r="BA48" i="3"/>
  <c r="BB48" i="3" s="1"/>
  <c r="BI48" i="3"/>
  <c r="AQ43" i="3"/>
  <c r="AY43" i="3"/>
  <c r="BG43" i="3"/>
  <c r="AS43" i="3"/>
  <c r="BA43" i="3"/>
  <c r="BI43" i="3"/>
  <c r="AU43" i="3"/>
  <c r="BC43" i="3"/>
  <c r="BK43" i="3"/>
  <c r="AO43" i="3"/>
  <c r="AW43" i="3"/>
  <c r="BE43" i="3"/>
  <c r="AS59" i="3"/>
  <c r="BA59" i="3"/>
  <c r="BI59" i="3"/>
  <c r="AO59" i="3"/>
  <c r="AW59" i="3"/>
  <c r="BE59" i="3"/>
  <c r="AW56" i="3"/>
  <c r="Z51" i="3"/>
  <c r="AQ49" i="3"/>
  <c r="AY49" i="3"/>
  <c r="BG49" i="3"/>
  <c r="AU49" i="3"/>
  <c r="BC49" i="3"/>
  <c r="BK49" i="3"/>
  <c r="AY48" i="3"/>
  <c r="AM48" i="3"/>
  <c r="N48" i="3"/>
  <c r="AU45" i="3"/>
  <c r="BC45" i="3"/>
  <c r="BK45" i="3"/>
  <c r="AO45" i="3"/>
  <c r="AW45" i="3"/>
  <c r="BE45" i="3"/>
  <c r="AQ45" i="3"/>
  <c r="AY45" i="3"/>
  <c r="BG45" i="3"/>
  <c r="N59" i="3"/>
  <c r="AH59" i="3" s="1"/>
  <c r="AK52" i="3"/>
  <c r="AU48" i="3"/>
  <c r="Z59" i="3"/>
  <c r="AQ57" i="3"/>
  <c r="AY57" i="3"/>
  <c r="BG57" i="3"/>
  <c r="AU57" i="3"/>
  <c r="BC57" i="3"/>
  <c r="BK57" i="3"/>
  <c r="BC56" i="3"/>
  <c r="AS51" i="3"/>
  <c r="BA51" i="3"/>
  <c r="BI51" i="3"/>
  <c r="AO51" i="3"/>
  <c r="AW51" i="3"/>
  <c r="BE51" i="3"/>
  <c r="AS49" i="3"/>
  <c r="AI49" i="3"/>
  <c r="BE48" i="3"/>
  <c r="H54" i="3"/>
  <c r="BC59" i="3"/>
  <c r="AW57" i="3"/>
  <c r="BA56" i="3"/>
  <c r="AQ56" i="3"/>
  <c r="N55" i="3"/>
  <c r="H50" i="3"/>
  <c r="AQ48" i="3"/>
  <c r="BI45" i="3"/>
  <c r="AS45" i="3"/>
  <c r="AS56" i="3"/>
  <c r="BG48" i="3"/>
  <c r="AM60" i="3"/>
  <c r="AQ59" i="3"/>
  <c r="BK56" i="3"/>
  <c r="Z55" i="3"/>
  <c r="AU53" i="3"/>
  <c r="BC53" i="3"/>
  <c r="BK53" i="3"/>
  <c r="AQ53" i="3"/>
  <c r="AY53" i="3"/>
  <c r="BG53" i="3"/>
  <c r="BG51" i="3"/>
  <c r="BA49" i="3"/>
  <c r="BC48" i="3"/>
  <c r="AO48" i="3"/>
  <c r="N47" i="3"/>
  <c r="AH47" i="3" s="1"/>
  <c r="AP47" i="3" s="1"/>
  <c r="BG42" i="3"/>
  <c r="AY42" i="3"/>
  <c r="AQ42" i="3"/>
  <c r="BG47" i="3"/>
  <c r="AY47" i="3"/>
  <c r="BE42" i="3"/>
  <c r="AW42" i="3"/>
  <c r="AO42" i="3"/>
  <c r="BG46" i="3"/>
  <c r="AY46" i="3"/>
  <c r="BK42" i="3"/>
  <c r="BC42" i="3"/>
  <c r="AM42" i="3"/>
  <c r="BI34" i="3"/>
  <c r="BG27" i="3"/>
  <c r="BE37" i="3"/>
  <c r="BE34" i="3"/>
  <c r="AO34" i="3"/>
  <c r="BA26" i="3"/>
  <c r="BE16" i="3"/>
  <c r="BG36" i="3"/>
  <c r="BC34" i="3"/>
  <c r="AY27" i="3"/>
  <c r="AY26" i="3"/>
  <c r="AU16" i="3"/>
  <c r="T34" i="3"/>
  <c r="BC36" i="3"/>
  <c r="T33" i="3"/>
  <c r="AW34" i="3"/>
  <c r="AS26" i="3"/>
  <c r="Z22" i="3"/>
  <c r="AI27" i="3"/>
  <c r="AI33" i="3"/>
  <c r="AS34" i="3"/>
  <c r="BE26" i="3"/>
  <c r="AO26" i="3"/>
  <c r="BI26" i="3"/>
  <c r="H21" i="3"/>
  <c r="AF21" i="3"/>
  <c r="AF24" i="3"/>
  <c r="N25" i="3"/>
  <c r="AH25" i="3"/>
  <c r="N26" i="3"/>
  <c r="BA37" i="3"/>
  <c r="AY34" i="3"/>
  <c r="AU26" i="3"/>
  <c r="BG34" i="3"/>
  <c r="AU34" i="3"/>
  <c r="AQ26" i="3"/>
  <c r="BK26" i="3"/>
  <c r="BC26" i="3"/>
  <c r="BC10" i="3"/>
  <c r="Z13" i="3"/>
  <c r="N14" i="3"/>
  <c r="N23" i="3"/>
  <c r="H24" i="3"/>
  <c r="AF25" i="3"/>
  <c r="AF29" i="3"/>
  <c r="AF34" i="3"/>
  <c r="BI36" i="3"/>
  <c r="N36" i="3"/>
  <c r="BI5" i="3"/>
  <c r="AI29" i="3"/>
  <c r="N30" i="3"/>
  <c r="BI6" i="3"/>
  <c r="BG17" i="3"/>
  <c r="AY37" i="3"/>
  <c r="BA7" i="3"/>
  <c r="H22" i="3"/>
  <c r="BC21" i="3"/>
  <c r="BI24" i="3"/>
  <c r="Z10" i="3"/>
  <c r="BA5" i="3"/>
  <c r="AS32" i="3"/>
  <c r="AS31" i="3"/>
  <c r="AW29" i="3"/>
  <c r="AQ24" i="3"/>
  <c r="AQ21" i="3"/>
  <c r="AU17" i="3"/>
  <c r="BE13" i="3"/>
  <c r="N18" i="3"/>
  <c r="N20" i="3"/>
  <c r="AF20" i="3"/>
  <c r="BK22" i="3"/>
  <c r="BI14" i="3"/>
  <c r="AH37" i="3"/>
  <c r="AW31" i="3"/>
  <c r="N13" i="3"/>
  <c r="BI31" i="3"/>
  <c r="AI25" i="3"/>
  <c r="AY5" i="3"/>
  <c r="AQ32" i="3"/>
  <c r="AQ31" i="3"/>
  <c r="AU29" i="3"/>
  <c r="BE23" i="3"/>
  <c r="AO21" i="3"/>
  <c r="AQ17" i="3"/>
  <c r="BI11" i="3"/>
  <c r="BK7" i="3"/>
  <c r="AI28" i="3"/>
  <c r="T29" i="3"/>
  <c r="BI17" i="3"/>
  <c r="BG6" i="3"/>
  <c r="BC5" i="3"/>
  <c r="AU31" i="3"/>
  <c r="BG31" i="3"/>
  <c r="BK16" i="3"/>
  <c r="AW37" i="3"/>
  <c r="BE31" i="3"/>
  <c r="AO17" i="3"/>
  <c r="BE6" i="3"/>
  <c r="AF14" i="3"/>
  <c r="H14" i="3"/>
  <c r="BK32" i="3"/>
  <c r="BI20" i="3"/>
  <c r="BG11" i="3"/>
  <c r="BG37" i="3"/>
  <c r="AO37" i="3"/>
  <c r="BC39" i="3"/>
  <c r="AH38" i="3"/>
  <c r="BE38" i="3"/>
  <c r="AQ38" i="3"/>
  <c r="AU38" i="3"/>
  <c r="AV38" i="3"/>
  <c r="BI38" i="3"/>
  <c r="BJ38" i="3"/>
  <c r="AY36" i="3"/>
  <c r="AW36" i="3"/>
  <c r="BE36" i="3"/>
  <c r="AU36" i="3"/>
  <c r="AS36" i="3"/>
  <c r="BA36" i="3"/>
  <c r="AQ36" i="3"/>
  <c r="BK36" i="3"/>
  <c r="AO24" i="3"/>
  <c r="BK15" i="3"/>
  <c r="BI12" i="3"/>
  <c r="BA21" i="3"/>
  <c r="AY13" i="3"/>
  <c r="BI22" i="3"/>
  <c r="BI15" i="3"/>
  <c r="BK10" i="3"/>
  <c r="AS5" i="3"/>
  <c r="AS24" i="3"/>
  <c r="AS21" i="3"/>
  <c r="AU20" i="3"/>
  <c r="AY15" i="3"/>
  <c r="AI19" i="3"/>
  <c r="AF19" i="3"/>
  <c r="AI20" i="3"/>
  <c r="BK5" i="3"/>
  <c r="BK24" i="3"/>
  <c r="BG21" i="3"/>
  <c r="BG16" i="3"/>
  <c r="BG13" i="3"/>
  <c r="BG10" i="3"/>
  <c r="BE24" i="3"/>
  <c r="BC20" i="3"/>
  <c r="BG5" i="3"/>
  <c r="AY24" i="3"/>
  <c r="AY23" i="3"/>
  <c r="AW22" i="3"/>
  <c r="AY21" i="3"/>
  <c r="BA20" i="3"/>
  <c r="H13" i="3"/>
  <c r="AM13" i="3" s="1"/>
  <c r="BG15" i="3"/>
  <c r="BG12" i="3"/>
  <c r="BK12" i="3"/>
  <c r="BC24" i="3"/>
  <c r="AW10" i="3"/>
  <c r="BA14" i="3"/>
  <c r="AW24" i="3"/>
  <c r="AW21" i="3"/>
  <c r="AY20" i="3"/>
  <c r="AU14" i="3"/>
  <c r="AQ12" i="3"/>
  <c r="BK21" i="3"/>
  <c r="BI16" i="3"/>
  <c r="BI13" i="3"/>
  <c r="BJ13" i="3" s="1"/>
  <c r="BG24" i="3"/>
  <c r="BA24" i="3"/>
  <c r="BG20" i="3"/>
  <c r="AU23" i="3"/>
  <c r="AU21" i="3"/>
  <c r="BC15" i="3"/>
  <c r="H15" i="3"/>
  <c r="BG25" i="3"/>
  <c r="BI19" i="3"/>
  <c r="BK17" i="3"/>
  <c r="BK14" i="3"/>
  <c r="BK11" i="3"/>
  <c r="BK6" i="3"/>
  <c r="AO32" i="3"/>
  <c r="BC32" i="3"/>
  <c r="AO23" i="3"/>
  <c r="BC23" i="3"/>
  <c r="BK23" i="3"/>
  <c r="BI23" i="3"/>
  <c r="AO12" i="3"/>
  <c r="Z14" i="3"/>
  <c r="AI14" i="3"/>
  <c r="BE11" i="3"/>
  <c r="AF16" i="3"/>
  <c r="AS19" i="3"/>
  <c r="BE17" i="3"/>
  <c r="AO16" i="3"/>
  <c r="BA12" i="3"/>
  <c r="AS11" i="3"/>
  <c r="AU6" i="3"/>
  <c r="AU11" i="3"/>
  <c r="BC17" i="3"/>
  <c r="AY12" i="3"/>
  <c r="AZ12" i="3" s="1"/>
  <c r="AO11" i="3"/>
  <c r="AS6" i="3"/>
  <c r="AY6" i="3"/>
  <c r="AU12" i="3"/>
  <c r="T20" i="3"/>
  <c r="BE5" i="3"/>
  <c r="AS17" i="3"/>
  <c r="AS16" i="3"/>
  <c r="AW11" i="3"/>
  <c r="AW5" i="3"/>
  <c r="BA17" i="3"/>
  <c r="BC16" i="3"/>
  <c r="AY7" i="3"/>
  <c r="BC6" i="3"/>
  <c r="AO5" i="3"/>
  <c r="AU5" i="3"/>
  <c r="AY17" i="3"/>
  <c r="BA16" i="3"/>
  <c r="BA11" i="3"/>
  <c r="AQ6" i="3"/>
  <c r="AW16" i="3"/>
  <c r="AY11" i="3"/>
  <c r="BA6" i="3"/>
  <c r="AO6" i="3"/>
  <c r="BE15" i="3"/>
  <c r="AU15" i="3"/>
  <c r="AS15" i="3"/>
  <c r="BA15" i="3"/>
  <c r="AQ15" i="3"/>
  <c r="AO14" i="3"/>
  <c r="BC12" i="3"/>
  <c r="AS12" i="3"/>
  <c r="AW12" i="3"/>
  <c r="AI9" i="3"/>
  <c r="T12" i="3"/>
  <c r="H12" i="3"/>
  <c r="AM12" i="3" s="1"/>
  <c r="AF11" i="3"/>
  <c r="H11" i="3"/>
  <c r="N12" i="3"/>
  <c r="N9" i="3"/>
  <c r="AI6" i="3"/>
  <c r="AI5" i="3"/>
  <c r="AI10" i="3"/>
  <c r="T6" i="3"/>
  <c r="N11" i="3"/>
  <c r="Z5" i="3"/>
  <c r="AH27" i="3"/>
  <c r="AX27" i="3" s="1"/>
  <c r="AH8" i="3"/>
  <c r="BL8" i="3" s="1"/>
  <c r="AK44" i="3"/>
  <c r="AH55" i="3"/>
  <c r="AR55" i="3" s="1"/>
  <c r="AK55" i="3"/>
  <c r="AM22" i="3"/>
  <c r="AM15" i="3"/>
  <c r="AL16" i="3"/>
  <c r="AL11" i="3"/>
  <c r="AM11" i="3"/>
  <c r="AM21" i="3"/>
  <c r="AM24" i="3"/>
  <c r="AM28" i="3"/>
  <c r="AK12" i="3"/>
  <c r="AL14" i="3"/>
  <c r="AH48" i="3"/>
  <c r="AT48" i="3" s="1"/>
  <c r="AM62" i="3"/>
  <c r="AH28" i="3"/>
  <c r="AH50" i="3"/>
  <c r="AM50" i="3"/>
  <c r="AK50" i="3"/>
  <c r="AT52" i="3"/>
  <c r="BB52" i="3"/>
  <c r="BJ52" i="3"/>
  <c r="AR52" i="3"/>
  <c r="AM54" i="3"/>
  <c r="AK54" i="3"/>
  <c r="BF56" i="3"/>
  <c r="AZ56" i="3"/>
  <c r="BH56" i="3"/>
  <c r="BB37" i="3"/>
  <c r="AH13" i="3"/>
  <c r="AP37" i="3"/>
  <c r="BF38" i="3"/>
  <c r="BL7" i="3"/>
  <c r="BD8" i="3"/>
  <c r="BJ8" i="3"/>
  <c r="AT28" i="3"/>
  <c r="BL23" i="3"/>
  <c r="BJ21" i="3"/>
  <c r="BD23" i="3"/>
  <c r="AV28" i="3"/>
  <c r="AP28" i="3"/>
  <c r="AX28" i="3"/>
  <c r="AR28" i="3"/>
  <c r="AT8" i="3"/>
  <c r="AT21" i="3"/>
  <c r="BD21" i="3"/>
  <c r="AX8" i="3"/>
  <c r="AP8" i="3"/>
  <c r="AZ8" i="3"/>
  <c r="AV8" i="3"/>
  <c r="BF8" i="3"/>
  <c r="BB8" i="3"/>
  <c r="BB28" i="3"/>
  <c r="BF13" i="3"/>
  <c r="AH12" i="3"/>
  <c r="BJ12" i="3"/>
  <c r="BF44" i="3"/>
  <c r="AV48" i="3"/>
  <c r="BD55" i="3"/>
  <c r="AT55" i="3"/>
  <c r="AV47" i="3"/>
  <c r="AZ48" i="3"/>
  <c r="BH48" i="3"/>
  <c r="AX48" i="3"/>
  <c r="AR48" i="3"/>
  <c r="AP55" i="3"/>
  <c r="AP48" i="3"/>
  <c r="BB55" i="3"/>
  <c r="BJ55" i="3"/>
  <c r="BJ48" i="3"/>
  <c r="AT47" i="3"/>
  <c r="BH47" i="3"/>
  <c r="BL47" i="3"/>
  <c r="BD48" i="3"/>
  <c r="AR54" i="3"/>
  <c r="AZ54" i="3"/>
  <c r="BH54" i="3"/>
  <c r="AV54" i="3"/>
  <c r="BL54" i="3"/>
  <c r="BF54" i="3"/>
  <c r="BJ54" i="3"/>
  <c r="AT54" i="3"/>
  <c r="BB54" i="3"/>
  <c r="AP54" i="3"/>
  <c r="AV50" i="3"/>
  <c r="BL50" i="3"/>
  <c r="AR50" i="3"/>
  <c r="AZ50" i="3"/>
  <c r="BH50" i="3"/>
  <c r="AX50" i="3"/>
  <c r="BJ50" i="3"/>
  <c r="AP50" i="3"/>
  <c r="BF50" i="3"/>
  <c r="AT50" i="3"/>
  <c r="AZ13" i="3"/>
  <c r="AX12" i="3"/>
  <c r="BH12" i="3"/>
  <c r="BL12" i="3"/>
  <c r="AP12" i="3"/>
  <c r="BB12" i="3"/>
  <c r="BF12" i="3"/>
  <c r="AV12" i="3"/>
  <c r="AR12" i="3"/>
  <c r="BD12" i="3"/>
  <c r="AT12" i="3"/>
  <c r="BF16" i="3" l="1"/>
  <c r="BD16" i="3"/>
  <c r="AX16" i="3"/>
  <c r="BB16" i="3"/>
  <c r="AR16" i="3"/>
  <c r="BH16" i="3"/>
  <c r="AT16" i="3"/>
  <c r="AV16" i="3"/>
  <c r="AZ16" i="3"/>
  <c r="AP16" i="3"/>
  <c r="BJ16" i="3"/>
  <c r="BL16" i="3"/>
  <c r="AR59" i="3"/>
  <c r="BL59" i="3"/>
  <c r="BJ59" i="3"/>
  <c r="AP59" i="3"/>
  <c r="BF59" i="3"/>
  <c r="AT59" i="3"/>
  <c r="BD59" i="3"/>
  <c r="AZ59" i="3"/>
  <c r="BB59" i="3"/>
  <c r="BH59" i="3"/>
  <c r="AX59" i="3"/>
  <c r="AV59" i="3"/>
  <c r="AL56" i="3"/>
  <c r="AL61" i="3"/>
  <c r="AL48" i="3"/>
  <c r="AL37" i="3"/>
  <c r="AL24" i="3"/>
  <c r="AL7" i="3"/>
  <c r="AL62" i="3"/>
  <c r="AL52" i="3"/>
  <c r="AL35" i="3"/>
  <c r="AL10" i="3"/>
  <c r="AL60" i="3"/>
  <c r="AL15" i="3"/>
  <c r="AL28" i="3"/>
  <c r="AL47" i="3"/>
  <c r="AL22" i="3"/>
  <c r="AL54" i="3"/>
  <c r="AL50" i="3"/>
  <c r="AL38" i="3"/>
  <c r="AL55" i="3"/>
  <c r="AL53" i="3"/>
  <c r="AL44" i="3"/>
  <c r="AL58" i="3"/>
  <c r="AL12" i="3"/>
  <c r="AP56" i="3"/>
  <c r="AV56" i="3"/>
  <c r="BL56" i="3"/>
  <c r="BD56" i="3"/>
  <c r="AT56" i="3"/>
  <c r="AR56" i="3"/>
  <c r="AX56" i="3"/>
  <c r="BB56" i="3"/>
  <c r="BJ56" i="3"/>
  <c r="BB7" i="3"/>
  <c r="AV7" i="3"/>
  <c r="BH7" i="3"/>
  <c r="AZ7" i="3"/>
  <c r="H17" i="3"/>
  <c r="H18" i="3"/>
  <c r="AQ19" i="3"/>
  <c r="AY19" i="3"/>
  <c r="AW19" i="3"/>
  <c r="BG19" i="3"/>
  <c r="BC19" i="3"/>
  <c r="AU19" i="3"/>
  <c r="BK19" i="3"/>
  <c r="BA19" i="3"/>
  <c r="BE19" i="3"/>
  <c r="AK40" i="3"/>
  <c r="AL40" i="3"/>
  <c r="AM40" i="3"/>
  <c r="BD44" i="3"/>
  <c r="BB44" i="3"/>
  <c r="BL44" i="3"/>
  <c r="AT44" i="3"/>
  <c r="BH44" i="3"/>
  <c r="AR44" i="3"/>
  <c r="AZ44" i="3"/>
  <c r="AP44" i="3"/>
  <c r="AV44" i="3"/>
  <c r="BH13" i="3"/>
  <c r="BD13" i="3"/>
  <c r="AR13" i="3"/>
  <c r="AT13" i="3"/>
  <c r="AV27" i="3"/>
  <c r="BJ27" i="3"/>
  <c r="BH27" i="3"/>
  <c r="BD27" i="3"/>
  <c r="BL27" i="3"/>
  <c r="AZ27" i="3"/>
  <c r="BL25" i="3"/>
  <c r="AR25" i="3"/>
  <c r="AP25" i="3"/>
  <c r="BH25" i="3"/>
  <c r="BD25" i="3"/>
  <c r="AH62" i="3"/>
  <c r="BH37" i="3"/>
  <c r="AX37" i="3"/>
  <c r="AV37" i="3"/>
  <c r="AR37" i="3"/>
  <c r="AZ37" i="3"/>
  <c r="AT37" i="3"/>
  <c r="BF37" i="3"/>
  <c r="AV23" i="3"/>
  <c r="AP23" i="3"/>
  <c r="AT23" i="3"/>
  <c r="BF23" i="3"/>
  <c r="BH23" i="3"/>
  <c r="AZ23" i="3"/>
  <c r="BJ23" i="3"/>
  <c r="AH24" i="3"/>
  <c r="BA25" i="3"/>
  <c r="BB25" i="3" s="1"/>
  <c r="AS25" i="3"/>
  <c r="AT25" i="3" s="1"/>
  <c r="AY25" i="3"/>
  <c r="AZ25" i="3" s="1"/>
  <c r="BC25" i="3"/>
  <c r="BK25" i="3"/>
  <c r="BE25" i="3"/>
  <c r="BF25" i="3" s="1"/>
  <c r="AQ25" i="3"/>
  <c r="AO25" i="3"/>
  <c r="BI25" i="3"/>
  <c r="BJ25" i="3" s="1"/>
  <c r="AW25" i="3"/>
  <c r="AX25" i="3" s="1"/>
  <c r="AU25" i="3"/>
  <c r="AV25" i="3" s="1"/>
  <c r="BJ44" i="3"/>
  <c r="BC18" i="3"/>
  <c r="AY18" i="3"/>
  <c r="AO18" i="3"/>
  <c r="BE18" i="3"/>
  <c r="AW18" i="3"/>
  <c r="BK18" i="3"/>
  <c r="BG18" i="3"/>
  <c r="AS18" i="3"/>
  <c r="AU18" i="3"/>
  <c r="BI18" i="3"/>
  <c r="AQ18" i="3"/>
  <c r="BA18" i="3"/>
  <c r="AO19" i="3"/>
  <c r="AZ21" i="3"/>
  <c r="AX21" i="3"/>
  <c r="BF21" i="3"/>
  <c r="AP21" i="3"/>
  <c r="AR21" i="3"/>
  <c r="BB21" i="3"/>
  <c r="BH21" i="3"/>
  <c r="BL21" i="3"/>
  <c r="AV21" i="3"/>
  <c r="AL32" i="3"/>
  <c r="AH32" i="3"/>
  <c r="AM32" i="3"/>
  <c r="AM26" i="3"/>
  <c r="AL26" i="3"/>
  <c r="AH26" i="3"/>
  <c r="AX47" i="3"/>
  <c r="BH55" i="3"/>
  <c r="BB38" i="3"/>
  <c r="AR38" i="3"/>
  <c r="AZ38" i="3"/>
  <c r="AI21" i="3"/>
  <c r="AS22" i="3"/>
  <c r="BG22" i="3"/>
  <c r="BA22" i="3"/>
  <c r="AO22" i="3"/>
  <c r="AQ22" i="3"/>
  <c r="AU22" i="3"/>
  <c r="AY22" i="3"/>
  <c r="BE22" i="3"/>
  <c r="N22" i="3"/>
  <c r="AH22" i="3" s="1"/>
  <c r="AK51" i="3"/>
  <c r="AL51" i="3"/>
  <c r="AM51" i="3"/>
  <c r="AH51" i="3"/>
  <c r="AH49" i="3"/>
  <c r="AM49" i="3"/>
  <c r="AK49" i="3"/>
  <c r="AH58" i="3"/>
  <c r="AH57" i="3"/>
  <c r="AM57" i="3"/>
  <c r="AK57" i="3"/>
  <c r="AL57" i="3"/>
  <c r="BD52" i="3"/>
  <c r="AV52" i="3"/>
  <c r="AP52" i="3"/>
  <c r="AZ52" i="3"/>
  <c r="AX52" i="3"/>
  <c r="BL52" i="3"/>
  <c r="AZ47" i="3"/>
  <c r="BD47" i="3"/>
  <c r="AH60" i="3"/>
  <c r="AL42" i="3"/>
  <c r="AK43" i="3"/>
  <c r="AH43" i="3"/>
  <c r="AM43" i="3"/>
  <c r="AL43" i="3"/>
  <c r="AM45" i="3"/>
  <c r="AL45" i="3"/>
  <c r="AK45" i="3"/>
  <c r="AL46" i="3"/>
  <c r="AM46" i="3"/>
  <c r="AK46" i="3"/>
  <c r="AH46" i="3"/>
  <c r="AV55" i="3"/>
  <c r="BF52" i="3"/>
  <c r="AZ28" i="3"/>
  <c r="BL28" i="3"/>
  <c r="BH28" i="3"/>
  <c r="H29" i="3"/>
  <c r="AH30" i="3"/>
  <c r="AM30" i="3"/>
  <c r="AL30" i="3"/>
  <c r="BC40" i="3"/>
  <c r="AO40" i="3"/>
  <c r="AQ40" i="3"/>
  <c r="BE40" i="3"/>
  <c r="BG40" i="3"/>
  <c r="BI40" i="3"/>
  <c r="BK40" i="3"/>
  <c r="AU40" i="3"/>
  <c r="BA40" i="3"/>
  <c r="AS40" i="3"/>
  <c r="AH15" i="3"/>
  <c r="AH61" i="3"/>
  <c r="BJ47" i="3"/>
  <c r="AH45" i="3"/>
  <c r="AM8" i="3"/>
  <c r="AL8" i="3"/>
  <c r="AL20" i="3"/>
  <c r="AM20" i="3"/>
  <c r="AH20" i="3"/>
  <c r="AL27" i="3"/>
  <c r="AL31" i="3"/>
  <c r="AH31" i="3"/>
  <c r="AO33" i="3"/>
  <c r="AS33" i="3"/>
  <c r="AW33" i="3"/>
  <c r="BI33" i="3"/>
  <c r="BG33" i="3"/>
  <c r="BK33" i="3"/>
  <c r="BE33" i="3"/>
  <c r="BC33" i="3"/>
  <c r="AU33" i="3"/>
  <c r="AL36" i="3"/>
  <c r="AM36" i="3"/>
  <c r="AK36" i="3"/>
  <c r="AH36" i="3"/>
  <c r="BI39" i="3"/>
  <c r="BG39" i="3"/>
  <c r="BK39" i="3"/>
  <c r="BE39" i="3"/>
  <c r="AO39" i="3"/>
  <c r="AY39" i="3"/>
  <c r="BF55" i="3"/>
  <c r="AZ55" i="3"/>
  <c r="BL55" i="3"/>
  <c r="BF47" i="3"/>
  <c r="BB47" i="3"/>
  <c r="AX55" i="3"/>
  <c r="AR47" i="3"/>
  <c r="BF28" i="3"/>
  <c r="BJ28" i="3"/>
  <c r="BH8" i="3"/>
  <c r="BF48" i="3"/>
  <c r="AK14" i="3"/>
  <c r="AM14" i="3"/>
  <c r="AH14" i="3"/>
  <c r="T5" i="3"/>
  <c r="AH5" i="3" s="1"/>
  <c r="AF9" i="3"/>
  <c r="H9" i="3"/>
  <c r="N10" i="3"/>
  <c r="AH10" i="3" s="1"/>
  <c r="AH11" i="3"/>
  <c r="AI8" i="3"/>
  <c r="AH19" i="3"/>
  <c r="AI23" i="3"/>
  <c r="AI24" i="3"/>
  <c r="AL33" i="3"/>
  <c r="AH33" i="3"/>
  <c r="AM33" i="3"/>
  <c r="AL39" i="3"/>
  <c r="AH39" i="3"/>
  <c r="AH53" i="3"/>
  <c r="AL5" i="3"/>
  <c r="BI7" i="3"/>
  <c r="BJ7" i="3" s="1"/>
  <c r="AW7" i="3"/>
  <c r="AX7" i="3" s="1"/>
  <c r="AS7" i="3"/>
  <c r="AT7" i="3" s="1"/>
  <c r="BG7" i="3"/>
  <c r="AO7" i="3"/>
  <c r="AP7" i="3" s="1"/>
  <c r="BC7" i="3"/>
  <c r="BD7" i="3" s="1"/>
  <c r="BE7" i="3"/>
  <c r="BF7" i="3" s="1"/>
  <c r="AQ7" i="3"/>
  <c r="BA27" i="3"/>
  <c r="BB27" i="3" s="1"/>
  <c r="AQ27" i="3"/>
  <c r="AR27" i="3" s="1"/>
  <c r="AU27" i="3"/>
  <c r="BI27" i="3"/>
  <c r="BC27" i="3"/>
  <c r="BE27" i="3"/>
  <c r="BF27" i="3" s="1"/>
  <c r="AS27" i="3"/>
  <c r="AT27" i="3" s="1"/>
  <c r="BK37" i="3"/>
  <c r="BL37" i="3" s="1"/>
  <c r="BC37" i="3"/>
  <c r="BD37" i="3" s="1"/>
  <c r="BI37" i="3"/>
  <c r="BJ37" i="3" s="1"/>
  <c r="AU37" i="3"/>
  <c r="AQ37" i="3"/>
  <c r="AM38" i="3"/>
  <c r="AK38" i="3"/>
  <c r="N40" i="3"/>
  <c r="AH40" i="3" s="1"/>
  <c r="AM5" i="3"/>
  <c r="AL13" i="3"/>
  <c r="AL21" i="3"/>
  <c r="AY10" i="3"/>
  <c r="BI10" i="3"/>
  <c r="BE10" i="3"/>
  <c r="AU10" i="3"/>
  <c r="AQ10" i="3"/>
  <c r="AS10" i="3"/>
  <c r="AO10" i="3"/>
  <c r="BG23" i="3"/>
  <c r="BA23" i="3"/>
  <c r="BB23" i="3" s="1"/>
  <c r="AQ23" i="3"/>
  <c r="AR23" i="3" s="1"/>
  <c r="AW23" i="3"/>
  <c r="AX23" i="3" s="1"/>
  <c r="AI31" i="3"/>
  <c r="AI38" i="3"/>
  <c r="AL59" i="3"/>
  <c r="AK23" i="3"/>
  <c r="AM23" i="3"/>
  <c r="AL23" i="3"/>
  <c r="AF6" i="3"/>
  <c r="H6" i="3"/>
  <c r="AU7" i="3"/>
  <c r="BA13" i="3"/>
  <c r="BB13" i="3" s="1"/>
  <c r="BK13" i="3"/>
  <c r="BL13" i="3" s="1"/>
  <c r="AO13" i="3"/>
  <c r="AP13" i="3" s="1"/>
  <c r="BC13" i="3"/>
  <c r="AW13" i="3"/>
  <c r="AX13" i="3" s="1"/>
  <c r="AQ13" i="3"/>
  <c r="AU13" i="3"/>
  <c r="AV13" i="3" s="1"/>
  <c r="BE14" i="3"/>
  <c r="BC14" i="3"/>
  <c r="AQ14" i="3"/>
  <c r="AY14" i="3"/>
  <c r="AS14" i="3"/>
  <c r="BG14" i="3"/>
  <c r="AL25" i="3"/>
  <c r="AO27" i="3"/>
  <c r="AP27" i="3" s="1"/>
  <c r="H34" i="3"/>
  <c r="AS37" i="3"/>
  <c r="BG38" i="3"/>
  <c r="BH38" i="3" s="1"/>
  <c r="AS38" i="3"/>
  <c r="AT38" i="3" s="1"/>
  <c r="BC38" i="3"/>
  <c r="BD38" i="3" s="1"/>
  <c r="AO38" i="3"/>
  <c r="AP38" i="3" s="1"/>
  <c r="BA38" i="3"/>
  <c r="AW38" i="3"/>
  <c r="AX38" i="3" s="1"/>
  <c r="BK38" i="3"/>
  <c r="BL38" i="3" s="1"/>
  <c r="AH42" i="3"/>
  <c r="AK42" i="3"/>
  <c r="AV40" i="3" l="1"/>
  <c r="AR40" i="3"/>
  <c r="AP40" i="3"/>
  <c r="AZ40" i="3"/>
  <c r="BB40" i="3"/>
  <c r="BF40" i="3"/>
  <c r="AT40" i="3"/>
  <c r="BL40" i="3"/>
  <c r="AX40" i="3"/>
  <c r="BD40" i="3"/>
  <c r="BJ40" i="3"/>
  <c r="BH40" i="3"/>
  <c r="AT53" i="3"/>
  <c r="AZ53" i="3"/>
  <c r="BH53" i="3"/>
  <c r="BJ53" i="3"/>
  <c r="BD53" i="3"/>
  <c r="BF53" i="3"/>
  <c r="AP53" i="3"/>
  <c r="AV53" i="3"/>
  <c r="BL53" i="3"/>
  <c r="AR53" i="3"/>
  <c r="AX53" i="3"/>
  <c r="BB53" i="3"/>
  <c r="BH31" i="3"/>
  <c r="BF31" i="3"/>
  <c r="BL31" i="3"/>
  <c r="BB31" i="3"/>
  <c r="BD31" i="3"/>
  <c r="BJ31" i="3"/>
  <c r="AT31" i="3"/>
  <c r="AR31" i="3"/>
  <c r="AX31" i="3"/>
  <c r="AV31" i="3"/>
  <c r="AP31" i="3"/>
  <c r="AZ31" i="3"/>
  <c r="AR43" i="3"/>
  <c r="AX43" i="3"/>
  <c r="BL43" i="3"/>
  <c r="BH43" i="3"/>
  <c r="BD43" i="3"/>
  <c r="AV43" i="3"/>
  <c r="AZ43" i="3"/>
  <c r="BJ43" i="3"/>
  <c r="BB43" i="3"/>
  <c r="AT43" i="3"/>
  <c r="AP43" i="3"/>
  <c r="BF43" i="3"/>
  <c r="AX26" i="3"/>
  <c r="AZ26" i="3"/>
  <c r="BL26" i="3"/>
  <c r="BJ26" i="3"/>
  <c r="AV26" i="3"/>
  <c r="AT26" i="3"/>
  <c r="AR26" i="3"/>
  <c r="BB26" i="3"/>
  <c r="BD26" i="3"/>
  <c r="AP26" i="3"/>
  <c r="BF26" i="3"/>
  <c r="BH26" i="3"/>
  <c r="AR62" i="3"/>
  <c r="AV62" i="3"/>
  <c r="AT62" i="3"/>
  <c r="AX62" i="3"/>
  <c r="BD62" i="3"/>
  <c r="AZ62" i="3"/>
  <c r="BB62" i="3"/>
  <c r="AP62" i="3"/>
  <c r="BH62" i="3"/>
  <c r="BF62" i="3"/>
  <c r="BJ62" i="3"/>
  <c r="BL62" i="3"/>
  <c r="BH57" i="3"/>
  <c r="AP57" i="3"/>
  <c r="BD57" i="3"/>
  <c r="AT57" i="3"/>
  <c r="BL57" i="3"/>
  <c r="BJ57" i="3"/>
  <c r="AV57" i="3"/>
  <c r="AR57" i="3"/>
  <c r="BF57" i="3"/>
  <c r="BB57" i="3"/>
  <c r="AZ57" i="3"/>
  <c r="AX57" i="3"/>
  <c r="BD30" i="3"/>
  <c r="AP30" i="3"/>
  <c r="BH30" i="3"/>
  <c r="AR30" i="3"/>
  <c r="BL30" i="3"/>
  <c r="AV30" i="3"/>
  <c r="BJ30" i="3"/>
  <c r="AZ30" i="3"/>
  <c r="BB30" i="3"/>
  <c r="AX30" i="3"/>
  <c r="AT30" i="3"/>
  <c r="BF30" i="3"/>
  <c r="BF58" i="3"/>
  <c r="BD58" i="3"/>
  <c r="BJ58" i="3"/>
  <c r="BL58" i="3"/>
  <c r="AX58" i="3"/>
  <c r="AR58" i="3"/>
  <c r="BB58" i="3"/>
  <c r="AP58" i="3"/>
  <c r="AV58" i="3"/>
  <c r="AZ58" i="3"/>
  <c r="BH58" i="3"/>
  <c r="AT58" i="3"/>
  <c r="AH17" i="3"/>
  <c r="AM17" i="3"/>
  <c r="AL17" i="3"/>
  <c r="AL29" i="3"/>
  <c r="AM29" i="3"/>
  <c r="AH29" i="3"/>
  <c r="BB11" i="3"/>
  <c r="BF11" i="3"/>
  <c r="AP11" i="3"/>
  <c r="BL11" i="3"/>
  <c r="AX11" i="3"/>
  <c r="AZ11" i="3"/>
  <c r="AV11" i="3"/>
  <c r="AR11" i="3"/>
  <c r="BJ11" i="3"/>
  <c r="AT11" i="3"/>
  <c r="BH11" i="3"/>
  <c r="BD11" i="3"/>
  <c r="AV61" i="3"/>
  <c r="AZ61" i="3"/>
  <c r="BB61" i="3"/>
  <c r="BD61" i="3"/>
  <c r="AX61" i="3"/>
  <c r="AT61" i="3"/>
  <c r="BJ61" i="3"/>
  <c r="AR61" i="3"/>
  <c r="BL61" i="3"/>
  <c r="BF61" i="3"/>
  <c r="AP61" i="3"/>
  <c r="BH61" i="3"/>
  <c r="AP14" i="3"/>
  <c r="BB14" i="3"/>
  <c r="AR14" i="3"/>
  <c r="BJ14" i="3"/>
  <c r="AZ14" i="3"/>
  <c r="AT14" i="3"/>
  <c r="BH14" i="3"/>
  <c r="BD14" i="3"/>
  <c r="AX14" i="3"/>
  <c r="AV14" i="3"/>
  <c r="BF14" i="3"/>
  <c r="BL14" i="3"/>
  <c r="AT46" i="3"/>
  <c r="AP46" i="3"/>
  <c r="BF46" i="3"/>
  <c r="BL46" i="3"/>
  <c r="AV46" i="3"/>
  <c r="BB46" i="3"/>
  <c r="BD46" i="3"/>
  <c r="AX46" i="3"/>
  <c r="AR46" i="3"/>
  <c r="BJ46" i="3"/>
  <c r="AZ46" i="3"/>
  <c r="BH46" i="3"/>
  <c r="AT19" i="3"/>
  <c r="AX19" i="3"/>
  <c r="BJ19" i="3"/>
  <c r="BL19" i="3"/>
  <c r="AV19" i="3"/>
  <c r="AR19" i="3"/>
  <c r="AP19" i="3"/>
  <c r="BD19" i="3"/>
  <c r="BB19" i="3"/>
  <c r="BF19" i="3"/>
  <c r="AZ19" i="3"/>
  <c r="BH19" i="3"/>
  <c r="BD22" i="3"/>
  <c r="BH22" i="3"/>
  <c r="BB22" i="3"/>
  <c r="AT22" i="3"/>
  <c r="AV22" i="3"/>
  <c r="BF22" i="3"/>
  <c r="AX22" i="3"/>
  <c r="AR22" i="3"/>
  <c r="BJ22" i="3"/>
  <c r="AP22" i="3"/>
  <c r="AZ22" i="3"/>
  <c r="BL22" i="3"/>
  <c r="BD36" i="3"/>
  <c r="BJ36" i="3"/>
  <c r="AV36" i="3"/>
  <c r="AZ36" i="3"/>
  <c r="AP36" i="3"/>
  <c r="AT36" i="3"/>
  <c r="BH36" i="3"/>
  <c r="BL36" i="3"/>
  <c r="AR36" i="3"/>
  <c r="BF36" i="3"/>
  <c r="BB36" i="3"/>
  <c r="AX36" i="3"/>
  <c r="BH20" i="3"/>
  <c r="BL20" i="3"/>
  <c r="AP20" i="3"/>
  <c r="AX20" i="3"/>
  <c r="BJ20" i="3"/>
  <c r="BD20" i="3"/>
  <c r="AT20" i="3"/>
  <c r="BB20" i="3"/>
  <c r="BF20" i="3"/>
  <c r="AZ20" i="3"/>
  <c r="AR20" i="3"/>
  <c r="AV20" i="3"/>
  <c r="AP15" i="3"/>
  <c r="BH15" i="3"/>
  <c r="BF15" i="3"/>
  <c r="AV15" i="3"/>
  <c r="BL15" i="3"/>
  <c r="BJ15" i="3"/>
  <c r="BB15" i="3"/>
  <c r="AX15" i="3"/>
  <c r="AT15" i="3"/>
  <c r="AZ15" i="3"/>
  <c r="BD15" i="3"/>
  <c r="AR15" i="3"/>
  <c r="AT60" i="3"/>
  <c r="BF60" i="3"/>
  <c r="AZ60" i="3"/>
  <c r="BB60" i="3"/>
  <c r="AP60" i="3"/>
  <c r="AV60" i="3"/>
  <c r="BJ60" i="3"/>
  <c r="AX60" i="3"/>
  <c r="BL60" i="3"/>
  <c r="BH60" i="3"/>
  <c r="AR60" i="3"/>
  <c r="BD60" i="3"/>
  <c r="AZ49" i="3"/>
  <c r="AP49" i="3"/>
  <c r="BF49" i="3"/>
  <c r="BL49" i="3"/>
  <c r="BH49" i="3"/>
  <c r="AT49" i="3"/>
  <c r="AV49" i="3"/>
  <c r="BJ49" i="3"/>
  <c r="BD49" i="3"/>
  <c r="AX49" i="3"/>
  <c r="BB49" i="3"/>
  <c r="AR49" i="3"/>
  <c r="BJ5" i="3"/>
  <c r="AX5" i="3"/>
  <c r="AV5" i="3"/>
  <c r="AP5" i="3"/>
  <c r="BL5" i="3"/>
  <c r="AT5" i="3"/>
  <c r="BF5" i="3"/>
  <c r="BB5" i="3"/>
  <c r="BH5" i="3"/>
  <c r="AZ5" i="3"/>
  <c r="BD5" i="3"/>
  <c r="AR5" i="3"/>
  <c r="AL18" i="3"/>
  <c r="AM18" i="3"/>
  <c r="AH18" i="3"/>
  <c r="AX42" i="3"/>
  <c r="BL42" i="3"/>
  <c r="AP42" i="3"/>
  <c r="BF42" i="3"/>
  <c r="AT42" i="3"/>
  <c r="BB42" i="3"/>
  <c r="BJ42" i="3"/>
  <c r="BH42" i="3"/>
  <c r="AV42" i="3"/>
  <c r="AR42" i="3"/>
  <c r="AZ42" i="3"/>
  <c r="BD42" i="3"/>
  <c r="BB45" i="3"/>
  <c r="BJ45" i="3"/>
  <c r="AT45" i="3"/>
  <c r="BH45" i="3"/>
  <c r="AZ45" i="3"/>
  <c r="AV45" i="3"/>
  <c r="BL45" i="3"/>
  <c r="AX45" i="3"/>
  <c r="AP45" i="3"/>
  <c r="BF45" i="3"/>
  <c r="BD45" i="3"/>
  <c r="AR45" i="3"/>
  <c r="AM34" i="3"/>
  <c r="AH34" i="3"/>
  <c r="AL34" i="3"/>
  <c r="AT39" i="3"/>
  <c r="BJ39" i="3"/>
  <c r="AP39" i="3"/>
  <c r="BH39" i="3"/>
  <c r="BF39" i="3"/>
  <c r="AZ39" i="3"/>
  <c r="BL39" i="3"/>
  <c r="AX39" i="3"/>
  <c r="BD39" i="3"/>
  <c r="BB39" i="3"/>
  <c r="AR39" i="3"/>
  <c r="AV39" i="3"/>
  <c r="BB24" i="3"/>
  <c r="AP24" i="3"/>
  <c r="BH24" i="3"/>
  <c r="BJ24" i="3"/>
  <c r="AZ24" i="3"/>
  <c r="BL24" i="3"/>
  <c r="AT24" i="3"/>
  <c r="AR24" i="3"/>
  <c r="BF24" i="3"/>
  <c r="AX24" i="3"/>
  <c r="AV24" i="3"/>
  <c r="BD24" i="3"/>
  <c r="AL6" i="3"/>
  <c r="AH6" i="3"/>
  <c r="AM6" i="3"/>
  <c r="BB10" i="3"/>
  <c r="AR10" i="3"/>
  <c r="AZ10" i="3"/>
  <c r="AP10" i="3"/>
  <c r="AT10" i="3"/>
  <c r="BH10" i="3"/>
  <c r="BF10" i="3"/>
  <c r="BL10" i="3"/>
  <c r="BJ10" i="3"/>
  <c r="BD10" i="3"/>
  <c r="AV10" i="3"/>
  <c r="AX10" i="3"/>
  <c r="AZ33" i="3"/>
  <c r="BH33" i="3"/>
  <c r="AT33" i="3"/>
  <c r="BJ33" i="3"/>
  <c r="BL33" i="3"/>
  <c r="BD33" i="3"/>
  <c r="AV33" i="3"/>
  <c r="BB33" i="3"/>
  <c r="AR33" i="3"/>
  <c r="AP33" i="3"/>
  <c r="BF33" i="3"/>
  <c r="AX33" i="3"/>
  <c r="AM9" i="3"/>
  <c r="AL9" i="3"/>
  <c r="AH9" i="3"/>
  <c r="AP51" i="3"/>
  <c r="BJ51" i="3"/>
  <c r="AZ51" i="3"/>
  <c r="AT51" i="3"/>
  <c r="BH51" i="3"/>
  <c r="AR51" i="3"/>
  <c r="AV51" i="3"/>
  <c r="AX51" i="3"/>
  <c r="BF51" i="3"/>
  <c r="BD51" i="3"/>
  <c r="BB51" i="3"/>
  <c r="BL51" i="3"/>
  <c r="BB32" i="3"/>
  <c r="AP32" i="3"/>
  <c r="AT32" i="3"/>
  <c r="BF32" i="3"/>
  <c r="AZ32" i="3"/>
  <c r="AX32" i="3"/>
  <c r="BH32" i="3"/>
  <c r="AR32" i="3"/>
  <c r="BD32" i="3"/>
  <c r="AV32" i="3"/>
  <c r="BL32" i="3"/>
  <c r="BJ32" i="3"/>
  <c r="AP34" i="3" l="1"/>
  <c r="BF34" i="3"/>
  <c r="AT34" i="3"/>
  <c r="AR34" i="3"/>
  <c r="BJ34" i="3"/>
  <c r="BD34" i="3"/>
  <c r="BL34" i="3"/>
  <c r="AV34" i="3"/>
  <c r="AX34" i="3"/>
  <c r="BB34" i="3"/>
  <c r="BH34" i="3"/>
  <c r="AZ34" i="3"/>
  <c r="AV9" i="3"/>
  <c r="BH9" i="3"/>
  <c r="BB9" i="3"/>
  <c r="AZ9" i="3"/>
  <c r="BJ9" i="3"/>
  <c r="AP9" i="3"/>
  <c r="BD9" i="3"/>
  <c r="BF9" i="3"/>
  <c r="AT9" i="3"/>
  <c r="BL9" i="3"/>
  <c r="AX9" i="3"/>
  <c r="AR9" i="3"/>
  <c r="BB18" i="3"/>
  <c r="AT18" i="3"/>
  <c r="BL18" i="3"/>
  <c r="BJ18" i="3"/>
  <c r="BF18" i="3"/>
  <c r="AR18" i="3"/>
  <c r="BD18" i="3"/>
  <c r="AP18" i="3"/>
  <c r="AX18" i="3"/>
  <c r="AZ18" i="3"/>
  <c r="BH18" i="3"/>
  <c r="AV18" i="3"/>
  <c r="BJ6" i="3"/>
  <c r="AX6" i="3"/>
  <c r="BH6" i="3"/>
  <c r="AV6" i="3"/>
  <c r="BL6" i="3"/>
  <c r="BD6" i="3"/>
  <c r="BF6" i="3"/>
  <c r="AR6" i="3"/>
  <c r="AZ6" i="3"/>
  <c r="BB6" i="3"/>
  <c r="AT6" i="3"/>
  <c r="AP6" i="3"/>
  <c r="BL29" i="3"/>
  <c r="BF29" i="3"/>
  <c r="AT29" i="3"/>
  <c r="BD29" i="3"/>
  <c r="BB29" i="3"/>
  <c r="AX29" i="3"/>
  <c r="AZ29" i="3"/>
  <c r="AP29" i="3"/>
  <c r="AR29" i="3"/>
  <c r="BH29" i="3"/>
  <c r="AV29" i="3"/>
  <c r="BJ29" i="3"/>
  <c r="BL17" i="3"/>
  <c r="BJ17" i="3"/>
  <c r="BH17" i="3"/>
  <c r="AX17" i="3"/>
  <c r="AP17" i="3"/>
  <c r="BB17" i="3"/>
  <c r="AT17" i="3"/>
  <c r="AZ17" i="3"/>
  <c r="BD17" i="3"/>
  <c r="AR17" i="3"/>
  <c r="AV17" i="3"/>
  <c r="BF17" i="3"/>
</calcChain>
</file>

<file path=xl/sharedStrings.xml><?xml version="1.0" encoding="utf-8"?>
<sst xmlns="http://schemas.openxmlformats.org/spreadsheetml/2006/main" count="353" uniqueCount="231">
  <si>
    <t>SETHD</t>
  </si>
  <si>
    <t>ADVANC</t>
  </si>
  <si>
    <t>AP</t>
  </si>
  <si>
    <t>BAM</t>
  </si>
  <si>
    <t>BCH</t>
  </si>
  <si>
    <t>BCPG</t>
  </si>
  <si>
    <t>CHG</t>
  </si>
  <si>
    <t>CPF</t>
  </si>
  <si>
    <t>EGCO</t>
  </si>
  <si>
    <t>INTUCH</t>
  </si>
  <si>
    <t>IVL</t>
  </si>
  <si>
    <t>JMART</t>
  </si>
  <si>
    <t>KKP</t>
  </si>
  <si>
    <t>KTB</t>
  </si>
  <si>
    <t>LH</t>
  </si>
  <si>
    <t>ORI</t>
  </si>
  <si>
    <t>PTT</t>
  </si>
  <si>
    <t>PTTEP</t>
  </si>
  <si>
    <t>RATCH</t>
  </si>
  <si>
    <t>RCL</t>
  </si>
  <si>
    <t>SAWAD</t>
  </si>
  <si>
    <t>SIRI</t>
  </si>
  <si>
    <t>SPALI</t>
  </si>
  <si>
    <t>STA</t>
  </si>
  <si>
    <t>STGT</t>
  </si>
  <si>
    <t>TASCO</t>
  </si>
  <si>
    <t>TCAP</t>
  </si>
  <si>
    <t>TISCO</t>
  </si>
  <si>
    <t>TTB</t>
  </si>
  <si>
    <t>TU</t>
  </si>
  <si>
    <t>WHA</t>
  </si>
  <si>
    <t>ICT</t>
  </si>
  <si>
    <t>Market</t>
  </si>
  <si>
    <t>P/E</t>
  </si>
  <si>
    <t>P/BV</t>
  </si>
  <si>
    <t>P/E = Price to Earning ratio = ราคาต่อกำไรสุทธิ</t>
  </si>
  <si>
    <t>P/BV = Price to Book Value = อัตราส่วน ราคาหุ้นต่อมูลค่าทางบัญชี</t>
  </si>
  <si>
    <t>Divinded</t>
  </si>
  <si>
    <t>เงินปันผลล่าสุด</t>
  </si>
  <si>
    <t>เท่่า</t>
  </si>
  <si>
    <t>เท่า</t>
  </si>
  <si>
    <t>%</t>
  </si>
  <si>
    <t>บาท/หุ้น</t>
  </si>
  <si>
    <t>กำไรต่อหุ้น</t>
  </si>
  <si>
    <t>บาท</t>
  </si>
  <si>
    <t>PROP</t>
  </si>
  <si>
    <t>FIN</t>
  </si>
  <si>
    <t>HELTH</t>
  </si>
  <si>
    <t>ENERG</t>
  </si>
  <si>
    <t>โรงพยาบาลจุฬารัตน์</t>
  </si>
  <si>
    <t>ให้บริการโทรคมนาคม</t>
  </si>
  <si>
    <t>พัฒนาอสังหาริมทรัพย์</t>
  </si>
  <si>
    <t>บริหารจัดการสินทรัพย์</t>
  </si>
  <si>
    <t>ในเครือโรงพยาบาลกรุงเทพ</t>
  </si>
  <si>
    <t>ผลิตและจำหน่ายพลังงานสะอาด</t>
  </si>
  <si>
    <t>FOOD</t>
  </si>
  <si>
    <t>-</t>
  </si>
  <si>
    <t>เกษตรอุตสาหกรรมและอาหาร</t>
  </si>
  <si>
    <t>ถือหุ้น บริษัทผลิตและจำหน่ายไฟฟ้า</t>
  </si>
  <si>
    <t>ถือหุ้น และบริหาร บริษัทโทรคมนาคม</t>
  </si>
  <si>
    <t>PETRO</t>
  </si>
  <si>
    <t>อินโดรามา ลงทุน บริษัทปิโตรเคมีภัณฑ์</t>
  </si>
  <si>
    <t>ลงทุน ค่าปลีกค้าส่งโทรศัพท์ อุปกรณ์</t>
  </si>
  <si>
    <t>ธนาคารเกียรตินาคินภัทร</t>
  </si>
  <si>
    <t>BANK</t>
  </si>
  <si>
    <t>ธนาคารกรุงไทย</t>
  </si>
  <si>
    <t>แลนด์แอนด์เฮ้าส์</t>
  </si>
  <si>
    <t>ออริจิ้น</t>
  </si>
  <si>
    <t>ปตท ธุรกิจก๊าซธรรมชาติ</t>
  </si>
  <si>
    <t>สำรวจ และผลิตปิโตรเลียม</t>
  </si>
  <si>
    <t>TRANS</t>
  </si>
  <si>
    <t>สายการเดินเรือขนส่งตู้คอนเทนเนอร์</t>
  </si>
  <si>
    <t>สินเชื่อรายย่อย</t>
  </si>
  <si>
    <t>AGRI</t>
  </si>
  <si>
    <t>ผลิตและจำหน่ายยางธรรมชาติ ครบวงจร</t>
  </si>
  <si>
    <t>PERSON</t>
  </si>
  <si>
    <t>ผลิตและจำหน่ายถุงมือยาง</t>
  </si>
  <si>
    <t>CONMAT</t>
  </si>
  <si>
    <t>ผลิตและจำหน่ายยางมะตอย</t>
  </si>
  <si>
    <t>กลุ่มทุนธนชาติ</t>
  </si>
  <si>
    <t>กลุ่มธุรกิจทางการเงินทิสโก้</t>
  </si>
  <si>
    <t>ธุรกิจการธนาคารทหารไทยธนชาติ</t>
  </si>
  <si>
    <t>ผลิตและส่งออกอาหารสำเร็จรูปแช่แข็ง</t>
  </si>
  <si>
    <t>โลจิสติกส์ และนิคมอุตสาหกรรม</t>
  </si>
  <si>
    <t>Q-CON</t>
  </si>
  <si>
    <t>TIDLOR</t>
  </si>
  <si>
    <t>TMW</t>
  </si>
  <si>
    <t>A5</t>
  </si>
  <si>
    <t>PIN</t>
  </si>
  <si>
    <t>STECH</t>
  </si>
  <si>
    <t>THIP</t>
  </si>
  <si>
    <t>JITTA</t>
  </si>
  <si>
    <t>YONG</t>
  </si>
  <si>
    <t>ICHI</t>
  </si>
  <si>
    <t>EPG</t>
  </si>
  <si>
    <t>MGT</t>
  </si>
  <si>
    <t>DCON</t>
  </si>
  <si>
    <t>SYMC</t>
  </si>
  <si>
    <t>TVH</t>
  </si>
  <si>
    <t>KDH</t>
  </si>
  <si>
    <t>XO</t>
  </si>
  <si>
    <t>TPIPP</t>
  </si>
  <si>
    <t>F&amp;D</t>
  </si>
  <si>
    <t>TNP</t>
  </si>
  <si>
    <t>ALLA</t>
  </si>
  <si>
    <t>ROCK</t>
  </si>
  <si>
    <t>SO</t>
  </si>
  <si>
    <t>MEB</t>
  </si>
  <si>
    <t>YUASA</t>
  </si>
  <si>
    <t>LEO</t>
  </si>
  <si>
    <t>UP</t>
  </si>
  <si>
    <t>MEGA</t>
  </si>
  <si>
    <t>2S</t>
  </si>
  <si>
    <t>TNPC</t>
  </si>
  <si>
    <t>BBL</t>
  </si>
  <si>
    <t>NKI</t>
  </si>
  <si>
    <t>BCP</t>
  </si>
  <si>
    <t>PHOL</t>
  </si>
  <si>
    <t>PRTR</t>
  </si>
  <si>
    <t>STANLY</t>
  </si>
  <si>
    <t>FSMART</t>
  </si>
  <si>
    <t>SK</t>
  </si>
  <si>
    <t>CPT</t>
  </si>
  <si>
    <t>BLC</t>
  </si>
  <si>
    <t>ผลิตและจำหน่ายคอนกรีตมวลเบา</t>
  </si>
  <si>
    <t>ให้บริการสินเชื่อ และเช่าซื้อ</t>
  </si>
  <si>
    <t>INDUS</t>
  </si>
  <si>
    <t>ผลิต พิมพ์ พ่นสีและประกอบชิ้นส่วนผลิตภัณฑ์</t>
  </si>
  <si>
    <t>PROPCON</t>
  </si>
  <si>
    <t>ถือหุ้น บริษัทอสังหาริมทรัพย์</t>
  </si>
  <si>
    <t>พัฒนาและบริหารจัดการนิคมอุตสาหกรรม</t>
  </si>
  <si>
    <t>ผลิตและจำหน่ายคอนกรีตอัดแรง</t>
  </si>
  <si>
    <t>PKG</t>
  </si>
  <si>
    <t>ผลิตและจำหน่าย ผลิตภัณฑ์พลาสติก</t>
  </si>
  <si>
    <t>ผลิตและจำหน่ายคอนกรีตสำเร็จรูป</t>
  </si>
  <si>
    <t>ผลิตและจำหน่ายเครื่องดื่ม</t>
  </si>
  <si>
    <t>ถือหุ้น บริษัทแปรรูปพลาสติก</t>
  </si>
  <si>
    <t>จัดจำหน่าย และให้คำปรึกษาเคมีภัณฑ์</t>
  </si>
  <si>
    <t>ผลิตและจำหน่ายแผ่นพื้นและเสาเข็ม</t>
  </si>
  <si>
    <t>ให้บริการวงจรสื่อสารความเร็วสูง</t>
  </si>
  <si>
    <t>INSUR</t>
  </si>
  <si>
    <t>ถือหุ้น บริษัทประกันภัย</t>
  </si>
  <si>
    <t>โรงพยาบาลสมิติเวช</t>
  </si>
  <si>
    <t>AGRO</t>
  </si>
  <si>
    <t>EXOTIC FOOD</t>
  </si>
  <si>
    <t>ผลิตและจำหน่ายไฟฟ้า</t>
  </si>
  <si>
    <t>ผลิตและส่งออก แปรรูปผัก ผลไม้ และเนื้อสัตว์</t>
  </si>
  <si>
    <t>SERVICE</t>
  </si>
  <si>
    <t>ธนพิริยะ</t>
  </si>
  <si>
    <t>IMM</t>
  </si>
  <si>
    <t>นำเข้า ผลิต จำหน่ายและติดตั้ง อุปกรณ์อุตสาหกรรม</t>
  </si>
  <si>
    <t>HOME</t>
  </si>
  <si>
    <t>ผลิตและจำหน่ายเฟอร์นิเจอร์ office</t>
  </si>
  <si>
    <t>PROF</t>
  </si>
  <si>
    <t>ให้บริการจัดหาบุคคลากร และดูแลภูมิทัศน์</t>
  </si>
  <si>
    <t>จัดจำหน่าย E Book, Audio Book, E Reader</t>
  </si>
  <si>
    <t>ผลิตและจำหน่ายแบตเตอรี่</t>
  </si>
  <si>
    <t>Logistic Service</t>
  </si>
  <si>
    <t>ฉีดชิ้นส่วนพลาสติก และผลิตแม่พิมพ์</t>
  </si>
  <si>
    <t>COMM</t>
  </si>
  <si>
    <t>MEGA ผลิตภัณฑ์ยา</t>
  </si>
  <si>
    <t>STEEL</t>
  </si>
  <si>
    <t>จัดหา และแปรรูปเหล็กรูปพรรณ</t>
  </si>
  <si>
    <t>AUTO</t>
  </si>
  <si>
    <t>ธนาคารกรุงเทพ</t>
  </si>
  <si>
    <t>ประกันวินาศภัย</t>
  </si>
  <si>
    <t>บางจาก</t>
  </si>
  <si>
    <t>จำหน่ายผลิตภัณฑ์เพื่อความปลอดภัย</t>
  </si>
  <si>
    <t>HR Outsourcing, Recruitment Service</t>
  </si>
  <si>
    <t>ผลิตอุปกรณ์ส่องสว่างรถยนต์</t>
  </si>
  <si>
    <t>ให้บริการเติมเงินมือถือ "บุญเติม"</t>
  </si>
  <si>
    <t>ผลิตและจำหน่ายคอนกรีตอัดแรง และรับเหมา</t>
  </si>
  <si>
    <t>ผลิตและจำหน่ายตู้ไฟฟ้า</t>
  </si>
  <si>
    <t>ผลิตและจำหน่ายยาสามัญ เครื่องสำอาง</t>
  </si>
  <si>
    <t>SCB</t>
  </si>
  <si>
    <t>KBANK</t>
  </si>
  <si>
    <t>AEONTS</t>
  </si>
  <si>
    <t>AMATA</t>
  </si>
  <si>
    <t>HMPRO</t>
  </si>
  <si>
    <t>JMT</t>
  </si>
  <si>
    <t>KCE</t>
  </si>
  <si>
    <t>M</t>
  </si>
  <si>
    <t>PRM</t>
  </si>
  <si>
    <t>QH</t>
  </si>
  <si>
    <t>TLI</t>
  </si>
  <si>
    <t>TOP</t>
  </si>
  <si>
    <t>ไตรมาส</t>
  </si>
  <si>
    <t>3</t>
  </si>
  <si>
    <t>4</t>
  </si>
  <si>
    <t>2</t>
  </si>
  <si>
    <t>1</t>
  </si>
  <si>
    <t>YEAR</t>
  </si>
  <si>
    <t>Total</t>
  </si>
  <si>
    <t>เงินปันผล</t>
  </si>
  <si>
    <t>เฉลี่ย</t>
  </si>
  <si>
    <t>% Yield</t>
  </si>
  <si>
    <t>ITEM</t>
  </si>
  <si>
    <t>% YEILD</t>
  </si>
  <si>
    <t>Update ราคา</t>
  </si>
  <si>
    <t>(บาท)</t>
  </si>
  <si>
    <t>% YIELD</t>
  </si>
  <si>
    <t>ราคาต้นทุน</t>
  </si>
  <si>
    <t>LAST YEAR</t>
  </si>
  <si>
    <t>BDMS</t>
  </si>
  <si>
    <t>BEM</t>
  </si>
  <si>
    <t>CPALL</t>
  </si>
  <si>
    <t>GULF</t>
  </si>
  <si>
    <t>TIPH</t>
  </si>
  <si>
    <t>SET</t>
  </si>
  <si>
    <t>Sweet</t>
  </si>
  <si>
    <t>SPOT</t>
  </si>
  <si>
    <t>BEST</t>
  </si>
  <si>
    <t>PRICE</t>
  </si>
  <si>
    <t xml:space="preserve"> % YEILD ที่ต้องการ &gt;&gt;&gt;</t>
  </si>
  <si>
    <t>THAI</t>
  </si>
  <si>
    <t>AMARC</t>
  </si>
  <si>
    <t>FORTH</t>
  </si>
  <si>
    <t>AOT</t>
  </si>
  <si>
    <t>MINT</t>
  </si>
  <si>
    <t>BBIK</t>
  </si>
  <si>
    <t>BTG</t>
  </si>
  <si>
    <t>TTW</t>
  </si>
  <si>
    <t>COM7</t>
  </si>
  <si>
    <t>HTC</t>
  </si>
  <si>
    <t>DELTA</t>
  </si>
  <si>
    <t>BTS</t>
  </si>
  <si>
    <t>OR</t>
  </si>
  <si>
    <t>CPN</t>
  </si>
  <si>
    <t>% YIELD เฉลี่ย 5 ปีย้อนหลัง ณ ราคานั้นๆ</t>
  </si>
  <si>
    <t>ข้อมูลย้อนหลัง 5 ปี</t>
  </si>
  <si>
    <t>(14/05/2569)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</si>
</sst>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8FF06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F7FF"/>
      <name val="Calibri"/>
      <family val="2"/>
      <scheme val="minor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5">
    <xf numFmtId="0" fontId="0" fillId="0" borderId="0" xfId="0"/>
    <xf numFmtId="43" fontId="0" fillId="0" borderId="0" xfId="1" applyFont="1"/>
    <xf numFmtId="43" fontId="4" fillId="0" borderId="0" xfId="1" applyFont="1" applyAlignment="1">
      <alignment horizontal="center"/>
    </xf>
    <xf numFmtId="43" fontId="0" fillId="0" borderId="0" xfId="1" applyFont="1" applyAlignment="1">
      <alignment horizontal="center"/>
    </xf>
    <xf numFmtId="43" fontId="5" fillId="0" borderId="0" xfId="1" applyFont="1" applyAlignment="1">
      <alignment horizontal="left"/>
    </xf>
    <xf numFmtId="0" fontId="0" fillId="0" borderId="0" xfId="0" applyAlignment="1">
      <alignment horizontal="center"/>
    </xf>
    <xf numFmtId="14" fontId="5" fillId="0" borderId="0" xfId="1" applyNumberFormat="1" applyFont="1" applyAlignment="1">
      <alignment horizontal="center"/>
    </xf>
    <xf numFmtId="0" fontId="0" fillId="3" borderId="0" xfId="0" applyFill="1"/>
    <xf numFmtId="43" fontId="0" fillId="3" borderId="0" xfId="1" applyFont="1" applyFill="1" applyAlignment="1">
      <alignment horizontal="center"/>
    </xf>
    <xf numFmtId="43" fontId="0" fillId="3" borderId="0" xfId="1" applyFont="1" applyFill="1"/>
    <xf numFmtId="0" fontId="0" fillId="4" borderId="0" xfId="0" applyFill="1"/>
    <xf numFmtId="43" fontId="0" fillId="4" borderId="0" xfId="1" applyFont="1" applyFill="1" applyAlignment="1">
      <alignment horizontal="center"/>
    </xf>
    <xf numFmtId="43" fontId="0" fillId="4" borderId="0" xfId="1" applyFont="1" applyFill="1"/>
    <xf numFmtId="43" fontId="0" fillId="5" borderId="0" xfId="1" applyFont="1" applyFill="1"/>
    <xf numFmtId="40" fontId="0" fillId="0" borderId="0" xfId="1" applyNumberFormat="1" applyFont="1"/>
    <xf numFmtId="40" fontId="4" fillId="0" borderId="0" xfId="1" applyNumberFormat="1" applyFont="1" applyAlignment="1">
      <alignment horizontal="center"/>
    </xf>
    <xf numFmtId="40" fontId="0" fillId="0" borderId="0" xfId="1" applyNumberFormat="1" applyFont="1" applyAlignment="1">
      <alignment horizontal="center"/>
    </xf>
    <xf numFmtId="40" fontId="0" fillId="3" borderId="0" xfId="1" applyNumberFormat="1" applyFont="1" applyFill="1"/>
    <xf numFmtId="40" fontId="0" fillId="4" borderId="0" xfId="1" applyNumberFormat="1" applyFont="1" applyFill="1"/>
    <xf numFmtId="0" fontId="2" fillId="0" borderId="0" xfId="0" applyFont="1"/>
    <xf numFmtId="0" fontId="6" fillId="3" borderId="0" xfId="0" applyFont="1" applyFill="1"/>
    <xf numFmtId="0" fontId="7" fillId="2" borderId="0" xfId="0" applyFont="1" applyFill="1"/>
    <xf numFmtId="43" fontId="8" fillId="2" borderId="0" xfId="1" applyFont="1" applyFill="1" applyAlignment="1">
      <alignment horizontal="center"/>
    </xf>
    <xf numFmtId="43" fontId="8" fillId="5" borderId="0" xfId="1" applyFont="1" applyFill="1"/>
    <xf numFmtId="43" fontId="8" fillId="2" borderId="0" xfId="1" applyFont="1" applyFill="1"/>
    <xf numFmtId="40" fontId="8" fillId="2" borderId="0" xfId="1" applyNumberFormat="1" applyFont="1" applyFill="1"/>
    <xf numFmtId="0" fontId="8" fillId="2" borderId="0" xfId="0" applyFont="1" applyFill="1"/>
    <xf numFmtId="0" fontId="7" fillId="3" borderId="0" xfId="0" applyFont="1" applyFill="1"/>
    <xf numFmtId="43" fontId="8" fillId="3" borderId="0" xfId="1" applyFont="1" applyFill="1" applyAlignment="1">
      <alignment horizontal="center"/>
    </xf>
    <xf numFmtId="43" fontId="8" fillId="3" borderId="0" xfId="1" applyFont="1" applyFill="1"/>
    <xf numFmtId="40" fontId="8" fillId="3" borderId="0" xfId="1" applyNumberFormat="1" applyFont="1" applyFill="1"/>
    <xf numFmtId="0" fontId="8" fillId="3" borderId="0" xfId="0" applyFont="1" applyFill="1"/>
    <xf numFmtId="0" fontId="3" fillId="3" borderId="0" xfId="0" applyFont="1" applyFill="1"/>
    <xf numFmtId="0" fontId="3" fillId="2" borderId="0" xfId="0" applyFont="1" applyFill="1"/>
    <xf numFmtId="40" fontId="0" fillId="4" borderId="0" xfId="1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43" fontId="8" fillId="2" borderId="1" xfId="1" applyFont="1" applyFill="1" applyBorder="1"/>
    <xf numFmtId="43" fontId="8" fillId="3" borderId="1" xfId="1" applyFont="1" applyFill="1" applyBorder="1"/>
    <xf numFmtId="0" fontId="7" fillId="2" borderId="1" xfId="0" applyFont="1" applyFill="1" applyBorder="1"/>
    <xf numFmtId="0" fontId="7" fillId="3" borderId="1" xfId="0" applyFont="1" applyFill="1" applyBorder="1"/>
    <xf numFmtId="0" fontId="8" fillId="2" borderId="1" xfId="0" applyFont="1" applyFill="1" applyBorder="1"/>
    <xf numFmtId="0" fontId="0" fillId="0" borderId="2" xfId="0" applyBorder="1" applyAlignment="1">
      <alignment horizontal="center" vertical="center"/>
    </xf>
    <xf numFmtId="16" fontId="0" fillId="0" borderId="2" xfId="0" quotePrefix="1" applyNumberForma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16" fontId="0" fillId="0" borderId="7" xfId="0" quotePrefix="1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8" xfId="0" quotePrefix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6" borderId="3" xfId="0" quotePrefix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quotePrefix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43" fontId="0" fillId="0" borderId="8" xfId="0" applyNumberFormat="1" applyBorder="1" applyAlignment="1">
      <alignment horizontal="center"/>
    </xf>
    <xf numFmtId="43" fontId="0" fillId="0" borderId="11" xfId="0" applyNumberFormat="1" applyBorder="1" applyAlignment="1">
      <alignment horizontal="center"/>
    </xf>
    <xf numFmtId="43" fontId="0" fillId="0" borderId="8" xfId="0" applyNumberFormat="1" applyBorder="1"/>
    <xf numFmtId="43" fontId="0" fillId="0" borderId="11" xfId="0" applyNumberFormat="1" applyBorder="1"/>
    <xf numFmtId="43" fontId="0" fillId="0" borderId="4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9" xfId="1" applyFont="1" applyBorder="1" applyAlignment="1">
      <alignment horizontal="center"/>
    </xf>
    <xf numFmtId="43" fontId="0" fillId="0" borderId="7" xfId="1" applyFont="1" applyBorder="1"/>
    <xf numFmtId="43" fontId="0" fillId="0" borderId="9" xfId="1" applyFont="1" applyBorder="1"/>
    <xf numFmtId="43" fontId="0" fillId="0" borderId="19" xfId="1" applyFont="1" applyBorder="1" applyAlignment="1">
      <alignment horizontal="center"/>
    </xf>
    <xf numFmtId="43" fontId="0" fillId="0" borderId="20" xfId="0" applyNumberFormat="1" applyBorder="1" applyAlignment="1">
      <alignment horizontal="center"/>
    </xf>
    <xf numFmtId="43" fontId="0" fillId="0" borderId="19" xfId="1" applyFont="1" applyBorder="1"/>
    <xf numFmtId="43" fontId="0" fillId="0" borderId="20" xfId="0" applyNumberFormat="1" applyBorder="1"/>
    <xf numFmtId="9" fontId="0" fillId="0" borderId="24" xfId="0" applyNumberFormat="1" applyBorder="1" applyAlignment="1">
      <alignment horizontal="center"/>
    </xf>
    <xf numFmtId="9" fontId="0" fillId="0" borderId="25" xfId="0" applyNumberFormat="1" applyBorder="1" applyAlignment="1">
      <alignment horizontal="center"/>
    </xf>
    <xf numFmtId="9" fontId="0" fillId="0" borderId="24" xfId="0" applyNumberFormat="1" applyBorder="1"/>
    <xf numFmtId="9" fontId="11" fillId="0" borderId="24" xfId="0" applyNumberFormat="1" applyFont="1" applyBorder="1"/>
    <xf numFmtId="0" fontId="0" fillId="0" borderId="26" xfId="0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43" fontId="0" fillId="0" borderId="26" xfId="1" applyFont="1" applyBorder="1" applyAlignment="1">
      <alignment horizontal="center"/>
    </xf>
    <xf numFmtId="43" fontId="0" fillId="0" borderId="26" xfId="0" applyNumberFormat="1" applyBorder="1" applyAlignment="1">
      <alignment horizontal="center"/>
    </xf>
    <xf numFmtId="43" fontId="0" fillId="0" borderId="26" xfId="1" applyFont="1" applyBorder="1"/>
    <xf numFmtId="43" fontId="0" fillId="0" borderId="26" xfId="0" applyNumberFormat="1" applyBorder="1"/>
    <xf numFmtId="43" fontId="0" fillId="0" borderId="6" xfId="0" applyNumberFormat="1" applyBorder="1" applyAlignment="1">
      <alignment horizontal="center"/>
    </xf>
    <xf numFmtId="43" fontId="0" fillId="0" borderId="4" xfId="1" applyFont="1" applyBorder="1"/>
    <xf numFmtId="43" fontId="0" fillId="0" borderId="6" xfId="0" applyNumberFormat="1" applyBorder="1"/>
    <xf numFmtId="43" fontId="0" fillId="0" borderId="21" xfId="1" applyFont="1" applyBorder="1" applyAlignment="1">
      <alignment horizontal="center" vertical="center"/>
    </xf>
    <xf numFmtId="43" fontId="0" fillId="0" borderId="27" xfId="1" applyFont="1" applyBorder="1" applyAlignment="1">
      <alignment horizontal="center"/>
    </xf>
    <xf numFmtId="43" fontId="0" fillId="0" borderId="28" xfId="1" applyFont="1" applyBorder="1" applyAlignment="1">
      <alignment horizontal="center"/>
    </xf>
    <xf numFmtId="43" fontId="0" fillId="0" borderId="28" xfId="1" applyFont="1" applyFill="1" applyBorder="1" applyAlignment="1">
      <alignment horizontal="center" vertical="center"/>
    </xf>
    <xf numFmtId="43" fontId="0" fillId="0" borderId="29" xfId="1" applyFont="1" applyBorder="1" applyAlignment="1">
      <alignment horizontal="center" vertical="center"/>
    </xf>
    <xf numFmtId="43" fontId="0" fillId="0" borderId="30" xfId="1" applyFont="1" applyFill="1" applyBorder="1" applyAlignment="1">
      <alignment horizontal="center" vertical="center"/>
    </xf>
    <xf numFmtId="43" fontId="0" fillId="0" borderId="31" xfId="1" applyFont="1" applyBorder="1" applyAlignment="1">
      <alignment horizontal="center"/>
    </xf>
    <xf numFmtId="43" fontId="0" fillId="0" borderId="30" xfId="1" applyFont="1" applyBorder="1" applyAlignment="1">
      <alignment horizontal="center"/>
    </xf>
    <xf numFmtId="43" fontId="0" fillId="0" borderId="21" xfId="1" applyFont="1" applyBorder="1" applyAlignment="1">
      <alignment horizontal="center"/>
    </xf>
    <xf numFmtId="43" fontId="0" fillId="0" borderId="29" xfId="1" applyFont="1" applyBorder="1" applyAlignment="1">
      <alignment horizontal="center"/>
    </xf>
    <xf numFmtId="0" fontId="0" fillId="0" borderId="8" xfId="0" applyBorder="1"/>
    <xf numFmtId="0" fontId="10" fillId="7" borderId="8" xfId="0" applyFont="1" applyFill="1" applyBorder="1"/>
    <xf numFmtId="0" fontId="0" fillId="0" borderId="8" xfId="0" applyBorder="1" applyAlignment="1">
      <alignment horizontal="center"/>
    </xf>
    <xf numFmtId="0" fontId="12" fillId="8" borderId="8" xfId="0" applyFont="1" applyFill="1" applyBorder="1"/>
    <xf numFmtId="43" fontId="12" fillId="8" borderId="27" xfId="1" applyFont="1" applyFill="1" applyBorder="1" applyAlignment="1">
      <alignment horizontal="center"/>
    </xf>
    <xf numFmtId="43" fontId="12" fillId="8" borderId="28" xfId="1" applyFont="1" applyFill="1" applyBorder="1" applyAlignment="1">
      <alignment horizontal="center"/>
    </xf>
    <xf numFmtId="43" fontId="13" fillId="0" borderId="27" xfId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1" xfId="0" applyFont="1" applyBorder="1"/>
    <xf numFmtId="43" fontId="0" fillId="0" borderId="0" xfId="1" applyFont="1" applyAlignment="1">
      <alignment horizontal="right"/>
    </xf>
    <xf numFmtId="0" fontId="12" fillId="0" borderId="0" xfId="0" applyFont="1"/>
    <xf numFmtId="0" fontId="0" fillId="0" borderId="15" xfId="0" applyBorder="1" applyAlignment="1">
      <alignment horizontal="center" vertical="center"/>
    </xf>
    <xf numFmtId="43" fontId="0" fillId="0" borderId="0" xfId="1" applyFont="1" applyFill="1" applyBorder="1" applyAlignment="1">
      <alignment horizontal="center"/>
    </xf>
    <xf numFmtId="43" fontId="0" fillId="0" borderId="18" xfId="1" applyFont="1" applyFill="1" applyBorder="1" applyAlignment="1">
      <alignment horizontal="center"/>
    </xf>
    <xf numFmtId="43" fontId="12" fillId="0" borderId="18" xfId="1" applyFont="1" applyFill="1" applyBorder="1" applyAlignment="1">
      <alignment horizontal="center"/>
    </xf>
    <xf numFmtId="43" fontId="0" fillId="0" borderId="0" xfId="1" applyFont="1" applyFill="1" applyBorder="1" applyAlignment="1">
      <alignment horizontal="right"/>
    </xf>
    <xf numFmtId="43" fontId="0" fillId="0" borderId="15" xfId="1" applyFont="1" applyFill="1" applyBorder="1" applyAlignment="1">
      <alignment horizontal="center"/>
    </xf>
    <xf numFmtId="43" fontId="0" fillId="0" borderId="15" xfId="0" applyNumberFormat="1" applyBorder="1" applyAlignment="1">
      <alignment horizontal="center"/>
    </xf>
    <xf numFmtId="43" fontId="0" fillId="0" borderId="15" xfId="1" applyFont="1" applyFill="1" applyBorder="1"/>
    <xf numFmtId="43" fontId="0" fillId="0" borderId="15" xfId="0" applyNumberFormat="1" applyBorder="1"/>
    <xf numFmtId="43" fontId="13" fillId="0" borderId="12" xfId="1" applyFont="1" applyFill="1" applyBorder="1" applyAlignment="1">
      <alignment horizontal="center"/>
    </xf>
    <xf numFmtId="43" fontId="13" fillId="0" borderId="6" xfId="1" applyFont="1" applyFill="1" applyBorder="1" applyAlignment="1">
      <alignment horizontal="center"/>
    </xf>
    <xf numFmtId="43" fontId="13" fillId="0" borderId="32" xfId="1" applyFont="1" applyFill="1" applyBorder="1" applyAlignment="1">
      <alignment horizontal="center"/>
    </xf>
    <xf numFmtId="43" fontId="13" fillId="0" borderId="8" xfId="1" applyFont="1" applyFill="1" applyBorder="1" applyAlignment="1">
      <alignment horizontal="center"/>
    </xf>
    <xf numFmtId="43" fontId="13" fillId="0" borderId="33" xfId="1" applyFont="1" applyFill="1" applyBorder="1" applyAlignment="1">
      <alignment horizontal="center"/>
    </xf>
    <xf numFmtId="43" fontId="13" fillId="0" borderId="11" xfId="1" applyFont="1" applyFill="1" applyBorder="1" applyAlignment="1">
      <alignment horizontal="center"/>
    </xf>
    <xf numFmtId="0" fontId="13" fillId="0" borderId="6" xfId="1" applyNumberFormat="1" applyFont="1" applyFill="1" applyBorder="1" applyAlignment="1">
      <alignment horizontal="center"/>
    </xf>
    <xf numFmtId="43" fontId="0" fillId="9" borderId="31" xfId="1" applyFont="1" applyFill="1" applyBorder="1" applyAlignment="1">
      <alignment horizontal="center"/>
    </xf>
    <xf numFmtId="43" fontId="0" fillId="9" borderId="27" xfId="1" applyFont="1" applyFill="1" applyBorder="1" applyAlignment="1">
      <alignment horizontal="center"/>
    </xf>
    <xf numFmtId="43" fontId="13" fillId="9" borderId="32" xfId="1" applyFont="1" applyFill="1" applyBorder="1" applyAlignment="1">
      <alignment horizontal="center"/>
    </xf>
    <xf numFmtId="43" fontId="13" fillId="9" borderId="8" xfId="1" applyFont="1" applyFill="1" applyBorder="1" applyAlignment="1">
      <alignment horizontal="center"/>
    </xf>
    <xf numFmtId="43" fontId="0" fillId="9" borderId="4" xfId="1" applyFont="1" applyFill="1" applyBorder="1"/>
    <xf numFmtId="43" fontId="13" fillId="9" borderId="27" xfId="1" applyFont="1" applyFill="1" applyBorder="1" applyAlignment="1">
      <alignment horizontal="center"/>
    </xf>
    <xf numFmtId="43" fontId="0" fillId="10" borderId="7" xfId="1" applyFont="1" applyFill="1" applyBorder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7" borderId="21" xfId="0" applyFont="1" applyFill="1" applyBorder="1" applyAlignment="1">
      <alignment horizontal="center"/>
    </xf>
    <xf numFmtId="0" fontId="9" fillId="7" borderId="22" xfId="0" applyFont="1" applyFill="1" applyBorder="1" applyAlignment="1">
      <alignment horizontal="center"/>
    </xf>
    <xf numFmtId="0" fontId="9" fillId="7" borderId="23" xfId="0" applyFont="1" applyFill="1" applyBorder="1" applyAlignment="1">
      <alignment horizontal="center"/>
    </xf>
    <xf numFmtId="43" fontId="0" fillId="0" borderId="34" xfId="1" applyFont="1" applyBorder="1" applyAlignment="1">
      <alignment horizontal="center" vertical="center"/>
    </xf>
    <xf numFmtId="43" fontId="0" fillId="0" borderId="35" xfId="1" applyFont="1" applyFill="1" applyBorder="1" applyAlignment="1">
      <alignment horizontal="center" vertical="center"/>
    </xf>
    <xf numFmtId="43" fontId="0" fillId="0" borderId="4" xfId="1" applyFont="1" applyBorder="1" applyAlignment="1">
      <alignment horizontal="center" vertical="center"/>
    </xf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 vertical="center"/>
    </xf>
    <xf numFmtId="43" fontId="0" fillId="0" borderId="8" xfId="1" applyFont="1" applyBorder="1" applyAlignment="1">
      <alignment horizontal="center"/>
    </xf>
    <xf numFmtId="43" fontId="0" fillId="0" borderId="9" xfId="1" applyFont="1" applyBorder="1" applyAlignment="1">
      <alignment horizontal="center" vertical="center"/>
    </xf>
    <xf numFmtId="43" fontId="0" fillId="0" borderId="11" xfId="1" applyFont="1" applyBorder="1" applyAlignment="1">
      <alignment horizontal="center"/>
    </xf>
    <xf numFmtId="43" fontId="9" fillId="7" borderId="36" xfId="1" applyFont="1" applyFill="1" applyBorder="1" applyAlignment="1">
      <alignment horizontal="center" vertical="center"/>
    </xf>
    <xf numFmtId="43" fontId="9" fillId="7" borderId="37" xfId="1" applyFont="1" applyFill="1" applyBorder="1" applyAlignment="1">
      <alignment horizontal="center" vertical="center"/>
    </xf>
    <xf numFmtId="43" fontId="0" fillId="0" borderId="37" xfId="1" applyFont="1" applyBorder="1" applyAlignment="1">
      <alignment horizontal="center"/>
    </xf>
    <xf numFmtId="43" fontId="12" fillId="8" borderId="36" xfId="1" applyFont="1" applyFill="1" applyBorder="1" applyAlignment="1">
      <alignment horizontal="center" vertical="center"/>
    </xf>
    <xf numFmtId="43" fontId="12" fillId="8" borderId="26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ont>
        <color rgb="FF98FF06"/>
      </font>
      <fill>
        <patternFill>
          <bgColor theme="1" tint="0.499984740745262"/>
        </patternFill>
      </fill>
    </dxf>
  </dxfs>
  <tableStyles count="0" defaultTableStyle="TableStyleMedium2" defaultPivotStyle="PivotStyleLight16"/>
  <colors>
    <mruColors>
      <color rgb="FF00F7FF"/>
      <color rgb="FF98FF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2C33-3F3C-2841-908C-95E6CF1F96EC}">
  <dimension ref="A2:J76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58" sqref="K58"/>
    </sheetView>
  </sheetViews>
  <sheetFormatPr baseColWidth="10" defaultColWidth="10.83203125" defaultRowHeight="16" outlineLevelCol="1" x14ac:dyDescent="0.2"/>
  <cols>
    <col min="1" max="1" width="3.1640625" bestFit="1" customWidth="1"/>
    <col min="3" max="3" width="38.6640625" hidden="1" customWidth="1" outlineLevel="1"/>
    <col min="4" max="4" width="8.83203125" style="3" customWidth="1" collapsed="1"/>
    <col min="5" max="7" width="8.83203125" style="1" customWidth="1"/>
    <col min="8" max="8" width="8.83203125" style="14" customWidth="1"/>
    <col min="9" max="9" width="8.83203125" customWidth="1"/>
    <col min="10" max="10" width="8.83203125" style="1" customWidth="1"/>
  </cols>
  <sheetData>
    <row r="2" spans="1:10" x14ac:dyDescent="0.2">
      <c r="D2" s="4" t="s">
        <v>35</v>
      </c>
    </row>
    <row r="3" spans="1:10" x14ac:dyDescent="0.2">
      <c r="D3" s="4" t="s">
        <v>36</v>
      </c>
    </row>
    <row r="4" spans="1:10" x14ac:dyDescent="0.2">
      <c r="D4" s="3" t="s">
        <v>33</v>
      </c>
      <c r="E4" s="3" t="s">
        <v>34</v>
      </c>
      <c r="F4" s="3" t="s">
        <v>37</v>
      </c>
      <c r="G4" s="2" t="s">
        <v>38</v>
      </c>
      <c r="H4" s="15" t="s">
        <v>43</v>
      </c>
      <c r="I4" s="5" t="s">
        <v>32</v>
      </c>
      <c r="J4" s="6">
        <v>243724</v>
      </c>
    </row>
    <row r="5" spans="1:10" x14ac:dyDescent="0.2">
      <c r="D5" s="3" t="s">
        <v>39</v>
      </c>
      <c r="E5" s="3" t="s">
        <v>40</v>
      </c>
      <c r="F5" s="3" t="s">
        <v>41</v>
      </c>
      <c r="G5" s="3" t="s">
        <v>42</v>
      </c>
      <c r="H5" s="16" t="s">
        <v>44</v>
      </c>
      <c r="I5" s="5"/>
      <c r="J5" s="3"/>
    </row>
    <row r="6" spans="1:10" s="10" customFormat="1" ht="15" x14ac:dyDescent="0.2">
      <c r="B6" s="10" t="s">
        <v>0</v>
      </c>
      <c r="D6" s="11"/>
      <c r="E6" s="11"/>
      <c r="F6" s="11"/>
      <c r="G6" s="11"/>
      <c r="H6" s="34"/>
      <c r="I6" s="35"/>
      <c r="J6" s="11"/>
    </row>
    <row r="7" spans="1:10" ht="17" thickBot="1" x14ac:dyDescent="0.25">
      <c r="A7">
        <v>1</v>
      </c>
      <c r="B7" t="s">
        <v>1</v>
      </c>
      <c r="C7" t="s">
        <v>50</v>
      </c>
      <c r="D7" s="3">
        <v>20.66</v>
      </c>
      <c r="E7" s="1">
        <f>6.63</f>
        <v>6.63</v>
      </c>
      <c r="F7" s="1">
        <v>4.26</v>
      </c>
      <c r="G7" s="1">
        <v>4.6100000000000003</v>
      </c>
      <c r="H7" s="14">
        <v>9.7799999999999994</v>
      </c>
      <c r="I7" t="s">
        <v>31</v>
      </c>
      <c r="J7" s="1">
        <f>202</f>
        <v>202</v>
      </c>
    </row>
    <row r="8" spans="1:10" s="33" customFormat="1" ht="17" thickBot="1" x14ac:dyDescent="0.25">
      <c r="A8" s="21">
        <v>2</v>
      </c>
      <c r="B8" s="38" t="s">
        <v>2</v>
      </c>
      <c r="C8" s="21" t="s">
        <v>51</v>
      </c>
      <c r="D8" s="22">
        <f>5.61</f>
        <v>5.61</v>
      </c>
      <c r="E8" s="23">
        <f>0.83</f>
        <v>0.83</v>
      </c>
      <c r="F8" s="23">
        <f>6.48</f>
        <v>6.48</v>
      </c>
      <c r="G8" s="24">
        <f>0.65</f>
        <v>0.65</v>
      </c>
      <c r="H8" s="25">
        <f>1.92</f>
        <v>1.92</v>
      </c>
      <c r="I8" s="26" t="s">
        <v>45</v>
      </c>
      <c r="J8" s="36">
        <v>10.8</v>
      </c>
    </row>
    <row r="9" spans="1:10" x14ac:dyDescent="0.2">
      <c r="A9">
        <v>3</v>
      </c>
      <c r="B9" t="s">
        <v>3</v>
      </c>
      <c r="C9" t="s">
        <v>52</v>
      </c>
      <c r="D9" s="3">
        <f>20.85</f>
        <v>20.85</v>
      </c>
      <c r="E9" s="13">
        <f>0.73</f>
        <v>0.73</v>
      </c>
      <c r="F9" s="1">
        <f>3.84</f>
        <v>3.84</v>
      </c>
      <c r="G9" s="1">
        <f>0.55</f>
        <v>0.55000000000000004</v>
      </c>
      <c r="H9" s="14">
        <f>0.47</f>
        <v>0.47</v>
      </c>
      <c r="I9" t="s">
        <v>46</v>
      </c>
      <c r="J9" s="1">
        <f>9.9</f>
        <v>9.9</v>
      </c>
    </row>
    <row r="10" spans="1:10" x14ac:dyDescent="0.2">
      <c r="A10">
        <v>4</v>
      </c>
      <c r="B10" t="s">
        <v>4</v>
      </c>
      <c r="C10" t="s">
        <v>53</v>
      </c>
      <c r="D10" s="3">
        <f>36.71</f>
        <v>36.71</v>
      </c>
      <c r="E10" s="1">
        <f>4.1</f>
        <v>4.0999999999999996</v>
      </c>
      <c r="F10" s="1">
        <f>1.69</f>
        <v>1.69</v>
      </c>
      <c r="G10" s="1">
        <f>0.1</f>
        <v>0.1</v>
      </c>
      <c r="H10" s="14">
        <f>0.56</f>
        <v>0.56000000000000005</v>
      </c>
      <c r="I10" t="s">
        <v>47</v>
      </c>
      <c r="J10" s="1">
        <v>20.7</v>
      </c>
    </row>
    <row r="11" spans="1:10" x14ac:dyDescent="0.2">
      <c r="A11">
        <v>5</v>
      </c>
      <c r="B11" t="s">
        <v>5</v>
      </c>
      <c r="C11" t="s">
        <v>54</v>
      </c>
      <c r="D11" s="3">
        <f>19.13</f>
        <v>19.13</v>
      </c>
      <c r="E11" s="13">
        <f>0.71</f>
        <v>0.71</v>
      </c>
      <c r="F11" s="1">
        <f>3.5</f>
        <v>3.5</v>
      </c>
      <c r="G11" s="1">
        <f>0.15</f>
        <v>0.15</v>
      </c>
      <c r="H11" s="14">
        <f>0.38</f>
        <v>0.38</v>
      </c>
      <c r="I11" t="s">
        <v>48</v>
      </c>
      <c r="J11" s="1">
        <f>7.05</f>
        <v>7.05</v>
      </c>
    </row>
    <row r="12" spans="1:10" x14ac:dyDescent="0.2">
      <c r="A12">
        <v>6</v>
      </c>
      <c r="B12" t="s">
        <v>6</v>
      </c>
      <c r="C12" t="s">
        <v>49</v>
      </c>
      <c r="D12" s="3">
        <f>30.29</f>
        <v>30.29</v>
      </c>
      <c r="E12" s="1">
        <f>4.21</f>
        <v>4.21</v>
      </c>
      <c r="F12" s="1">
        <f>2.43</f>
        <v>2.4300000000000002</v>
      </c>
      <c r="G12" s="1">
        <f>0.02</f>
        <v>0.02</v>
      </c>
      <c r="H12" s="14">
        <f>2.88</f>
        <v>2.88</v>
      </c>
      <c r="I12" t="s">
        <v>47</v>
      </c>
      <c r="J12" s="1">
        <f>2.88</f>
        <v>2.88</v>
      </c>
    </row>
    <row r="13" spans="1:10" x14ac:dyDescent="0.2">
      <c r="A13">
        <v>7</v>
      </c>
      <c r="B13" s="19" t="s">
        <v>7</v>
      </c>
      <c r="C13" s="19" t="s">
        <v>57</v>
      </c>
      <c r="D13" s="3" t="s">
        <v>56</v>
      </c>
      <c r="E13" s="13">
        <f>0.64</f>
        <v>0.64</v>
      </c>
      <c r="F13" s="1" t="s">
        <v>56</v>
      </c>
      <c r="G13" s="1">
        <f>0.35</f>
        <v>0.35</v>
      </c>
      <c r="H13" s="14">
        <f>-0.75</f>
        <v>-0.75</v>
      </c>
      <c r="I13" t="s">
        <v>55</v>
      </c>
      <c r="J13" s="1">
        <f>18.5</f>
        <v>18.5</v>
      </c>
    </row>
    <row r="14" spans="1:10" x14ac:dyDescent="0.2">
      <c r="A14">
        <v>8</v>
      </c>
      <c r="B14" s="19" t="s">
        <v>8</v>
      </c>
      <c r="C14" s="19" t="s">
        <v>58</v>
      </c>
      <c r="D14" s="3" t="s">
        <v>56</v>
      </c>
      <c r="E14" s="13">
        <f>0.57</f>
        <v>0.56999999999999995</v>
      </c>
      <c r="F14" s="13">
        <f>5.68</f>
        <v>5.68</v>
      </c>
      <c r="G14" s="1">
        <f>3.25</f>
        <v>3.25</v>
      </c>
      <c r="H14" s="14">
        <f>-15.93</f>
        <v>-15.93</v>
      </c>
      <c r="I14" t="s">
        <v>48</v>
      </c>
      <c r="J14" s="1">
        <f>114.5</f>
        <v>114.5</v>
      </c>
    </row>
    <row r="15" spans="1:10" x14ac:dyDescent="0.2">
      <c r="A15">
        <v>9</v>
      </c>
      <c r="B15" t="s">
        <v>9</v>
      </c>
      <c r="C15" t="s">
        <v>59</v>
      </c>
      <c r="D15" s="3">
        <f>16.78</f>
        <v>16.78</v>
      </c>
      <c r="E15" s="1">
        <f>5.54</f>
        <v>5.54</v>
      </c>
      <c r="F15" s="1">
        <f>4.61</f>
        <v>4.6100000000000003</v>
      </c>
      <c r="G15" s="1">
        <f>1.7</f>
        <v>1.7</v>
      </c>
      <c r="H15" s="14">
        <f>4.1</f>
        <v>4.0999999999999996</v>
      </c>
      <c r="I15" t="s">
        <v>31</v>
      </c>
      <c r="J15" s="1">
        <f>68.75</f>
        <v>68.75</v>
      </c>
    </row>
    <row r="16" spans="1:10" x14ac:dyDescent="0.2">
      <c r="A16">
        <v>10</v>
      </c>
      <c r="B16" s="19" t="s">
        <v>10</v>
      </c>
      <c r="C16" s="19" t="s">
        <v>61</v>
      </c>
      <c r="D16" s="3" t="s">
        <v>56</v>
      </c>
      <c r="E16" s="13">
        <f>0.88</f>
        <v>0.88</v>
      </c>
      <c r="F16" s="1">
        <f>3.59</f>
        <v>3.59</v>
      </c>
      <c r="G16" s="1">
        <f>0.25</f>
        <v>0.25</v>
      </c>
      <c r="H16" s="14">
        <f>-2.06</f>
        <v>-2.06</v>
      </c>
      <c r="I16" t="s">
        <v>60</v>
      </c>
      <c r="J16" s="1">
        <f>25.75</f>
        <v>25.75</v>
      </c>
    </row>
    <row r="17" spans="1:10" x14ac:dyDescent="0.2">
      <c r="A17">
        <v>11</v>
      </c>
      <c r="B17" s="19" t="s">
        <v>11</v>
      </c>
      <c r="C17" s="19" t="s">
        <v>62</v>
      </c>
      <c r="D17" s="3" t="s">
        <v>56</v>
      </c>
      <c r="E17" s="1">
        <f>1.18</f>
        <v>1.18</v>
      </c>
      <c r="F17" s="1" t="s">
        <v>56</v>
      </c>
      <c r="G17" s="1">
        <f>0.66</f>
        <v>0.66</v>
      </c>
      <c r="H17" s="14">
        <f>-0.31</f>
        <v>-0.31</v>
      </c>
      <c r="I17" t="s">
        <v>31</v>
      </c>
      <c r="J17" s="1">
        <f>15.1</f>
        <v>15.1</v>
      </c>
    </row>
    <row r="18" spans="1:10" s="7" customFormat="1" ht="17" thickBot="1" x14ac:dyDescent="0.25">
      <c r="A18" s="20">
        <v>12</v>
      </c>
      <c r="B18" s="20" t="s">
        <v>12</v>
      </c>
      <c r="C18" s="20" t="s">
        <v>63</v>
      </c>
      <c r="D18" s="8">
        <f>8.24</f>
        <v>8.24</v>
      </c>
      <c r="E18" s="13">
        <f>0.74</f>
        <v>0.74</v>
      </c>
      <c r="F18" s="13">
        <f>5.66</f>
        <v>5.66</v>
      </c>
      <c r="G18" s="9">
        <f>1.25</f>
        <v>1.25</v>
      </c>
      <c r="H18" s="17">
        <f>6.43</f>
        <v>6.43</v>
      </c>
      <c r="I18" s="7" t="s">
        <v>64</v>
      </c>
      <c r="J18" s="9">
        <f>53</f>
        <v>53</v>
      </c>
    </row>
    <row r="19" spans="1:10" s="32" customFormat="1" ht="17" thickBot="1" x14ac:dyDescent="0.25">
      <c r="A19" s="27">
        <v>13</v>
      </c>
      <c r="B19" s="39" t="s">
        <v>13</v>
      </c>
      <c r="C19" s="27" t="s">
        <v>65</v>
      </c>
      <c r="D19" s="28">
        <f>6.53</f>
        <v>6.53</v>
      </c>
      <c r="E19" s="23">
        <f>0.59</f>
        <v>0.59</v>
      </c>
      <c r="F19" s="23">
        <f>5.08</f>
        <v>5.08</v>
      </c>
      <c r="G19" s="29">
        <f>0.68</f>
        <v>0.68</v>
      </c>
      <c r="H19" s="30">
        <f>2.62</f>
        <v>2.62</v>
      </c>
      <c r="I19" s="31" t="s">
        <v>64</v>
      </c>
      <c r="J19" s="37">
        <f>17.1</f>
        <v>17.100000000000001</v>
      </c>
    </row>
    <row r="20" spans="1:10" ht="17" thickBot="1" x14ac:dyDescent="0.25">
      <c r="A20">
        <v>14</v>
      </c>
      <c r="B20" t="s">
        <v>14</v>
      </c>
      <c r="C20" t="s">
        <v>66</v>
      </c>
      <c r="D20" s="3">
        <f>12.06</f>
        <v>12.06</v>
      </c>
      <c r="E20" s="1">
        <f>1.75</f>
        <v>1.75</v>
      </c>
      <c r="F20" s="13">
        <f>6.62</f>
        <v>6.62</v>
      </c>
      <c r="G20" s="1">
        <f>0.2</f>
        <v>0.2</v>
      </c>
      <c r="H20" s="14">
        <f>0.63</f>
        <v>0.63</v>
      </c>
      <c r="I20" t="s">
        <v>45</v>
      </c>
      <c r="J20" s="1">
        <f>7.55</f>
        <v>7.55</v>
      </c>
    </row>
    <row r="21" spans="1:10" s="26" customFormat="1" ht="17" thickBot="1" x14ac:dyDescent="0.25">
      <c r="A21" s="21">
        <v>15</v>
      </c>
      <c r="B21" s="38" t="s">
        <v>15</v>
      </c>
      <c r="C21" s="21" t="s">
        <v>67</v>
      </c>
      <c r="D21" s="22">
        <f>6.5</f>
        <v>6.5</v>
      </c>
      <c r="E21" s="23">
        <f>0.93</f>
        <v>0.93</v>
      </c>
      <c r="F21" s="23">
        <f>6.39</f>
        <v>6.39</v>
      </c>
      <c r="G21" s="24">
        <f>0.16</f>
        <v>0.16</v>
      </c>
      <c r="H21" s="25">
        <f>1.11</f>
        <v>1.1100000000000001</v>
      </c>
      <c r="I21" s="26" t="s">
        <v>45</v>
      </c>
      <c r="J21" s="36">
        <f>7.2</f>
        <v>7.2</v>
      </c>
    </row>
    <row r="22" spans="1:10" s="31" customFormat="1" ht="17" thickBot="1" x14ac:dyDescent="0.25">
      <c r="A22" s="27">
        <v>16</v>
      </c>
      <c r="B22" s="39" t="s">
        <v>16</v>
      </c>
      <c r="C22" s="27" t="s">
        <v>68</v>
      </c>
      <c r="D22" s="28">
        <f>8.86</f>
        <v>8.86</v>
      </c>
      <c r="E22" s="23">
        <f>0.89</f>
        <v>0.89</v>
      </c>
      <c r="F22" s="23">
        <f>5.76</f>
        <v>5.76</v>
      </c>
      <c r="G22" s="29">
        <f>1.2</f>
        <v>1.2</v>
      </c>
      <c r="H22" s="30">
        <f>3.92</f>
        <v>3.92</v>
      </c>
      <c r="I22" s="31" t="s">
        <v>48</v>
      </c>
      <c r="J22" s="37">
        <f>34.75</f>
        <v>34.75</v>
      </c>
    </row>
    <row r="23" spans="1:10" s="7" customFormat="1" x14ac:dyDescent="0.2">
      <c r="A23" s="7">
        <v>17</v>
      </c>
      <c r="B23" s="7" t="s">
        <v>17</v>
      </c>
      <c r="C23" s="7" t="s">
        <v>69</v>
      </c>
      <c r="D23" s="8">
        <f>8.18</f>
        <v>8.18</v>
      </c>
      <c r="E23" s="9">
        <f>1.26</f>
        <v>1.26</v>
      </c>
      <c r="F23" s="13">
        <f>6.01</f>
        <v>6.01</v>
      </c>
      <c r="G23" s="9">
        <f>5.25</f>
        <v>5.25</v>
      </c>
      <c r="H23" s="17">
        <f>18.89</f>
        <v>18.89</v>
      </c>
      <c r="I23" s="7" t="s">
        <v>48</v>
      </c>
      <c r="J23" s="9">
        <f>158</f>
        <v>158</v>
      </c>
    </row>
    <row r="24" spans="1:10" x14ac:dyDescent="0.2">
      <c r="A24">
        <v>18</v>
      </c>
      <c r="B24" t="s">
        <v>18</v>
      </c>
      <c r="C24" t="s">
        <v>58</v>
      </c>
      <c r="D24" s="3">
        <f>12</f>
        <v>12</v>
      </c>
      <c r="E24" s="13">
        <f>0.63</f>
        <v>0.63</v>
      </c>
      <c r="F24" s="13">
        <f>5.61</f>
        <v>5.61</v>
      </c>
      <c r="G24" s="1">
        <f>0.8</f>
        <v>0.8</v>
      </c>
      <c r="H24" s="14">
        <f>11.7</f>
        <v>11.7</v>
      </c>
      <c r="I24" t="s">
        <v>48</v>
      </c>
      <c r="J24" s="1">
        <f>28.5</f>
        <v>28.5</v>
      </c>
    </row>
    <row r="25" spans="1:10" s="7" customFormat="1" x14ac:dyDescent="0.2">
      <c r="A25" s="7">
        <v>19</v>
      </c>
      <c r="B25" s="7" t="s">
        <v>19</v>
      </c>
      <c r="C25" s="7" t="s">
        <v>71</v>
      </c>
      <c r="D25" s="8">
        <f>9.66</f>
        <v>9.66</v>
      </c>
      <c r="E25" s="13">
        <f>0.33</f>
        <v>0.33</v>
      </c>
      <c r="F25" s="9">
        <f>4.29</f>
        <v>4.29</v>
      </c>
      <c r="G25" s="9">
        <f>0.5</f>
        <v>0.5</v>
      </c>
      <c r="H25" s="17">
        <f>5.6</f>
        <v>5.6</v>
      </c>
      <c r="I25" s="7" t="s">
        <v>70</v>
      </c>
      <c r="J25" s="9">
        <f>17.5</f>
        <v>17.5</v>
      </c>
    </row>
    <row r="26" spans="1:10" x14ac:dyDescent="0.2">
      <c r="A26">
        <v>20</v>
      </c>
      <c r="B26" t="s">
        <v>20</v>
      </c>
      <c r="C26" t="s">
        <v>72</v>
      </c>
      <c r="D26" s="3">
        <f>11.26</f>
        <v>11.26</v>
      </c>
      <c r="E26" s="1">
        <f>2</f>
        <v>2</v>
      </c>
      <c r="F26" s="1">
        <f>0.03</f>
        <v>0.03</v>
      </c>
      <c r="G26" s="1">
        <f>1.8</f>
        <v>1.8</v>
      </c>
      <c r="H26" s="14">
        <f>3.64</f>
        <v>3.64</v>
      </c>
      <c r="I26" t="s">
        <v>46</v>
      </c>
      <c r="J26" s="1">
        <f>41</f>
        <v>41</v>
      </c>
    </row>
    <row r="27" spans="1:10" s="7" customFormat="1" x14ac:dyDescent="0.2">
      <c r="A27" s="20">
        <v>21</v>
      </c>
      <c r="B27" s="20" t="s">
        <v>21</v>
      </c>
      <c r="C27" s="20" t="s">
        <v>51</v>
      </c>
      <c r="D27" s="8">
        <f>4.97</f>
        <v>4.97</v>
      </c>
      <c r="E27" s="13">
        <f>0.65</f>
        <v>0.65</v>
      </c>
      <c r="F27" s="13">
        <f>11.01</f>
        <v>11.01</v>
      </c>
      <c r="G27" s="9">
        <f>0.1</f>
        <v>0.1</v>
      </c>
      <c r="H27" s="17">
        <f>0.36</f>
        <v>0.36</v>
      </c>
      <c r="I27" s="7" t="s">
        <v>45</v>
      </c>
      <c r="J27" s="9">
        <f>1.75</f>
        <v>1.75</v>
      </c>
    </row>
    <row r="28" spans="1:10" s="7" customFormat="1" x14ac:dyDescent="0.2">
      <c r="A28" s="20">
        <v>22</v>
      </c>
      <c r="B28" s="20" t="s">
        <v>22</v>
      </c>
      <c r="C28" s="20" t="s">
        <v>51</v>
      </c>
      <c r="D28" s="8">
        <f>6.91</f>
        <v>6.91</v>
      </c>
      <c r="E28" s="13">
        <f>0.82</f>
        <v>0.82</v>
      </c>
      <c r="F28" s="13">
        <f>6.84</f>
        <v>6.84</v>
      </c>
      <c r="G28" s="9">
        <f>0.7</f>
        <v>0.7</v>
      </c>
      <c r="H28" s="17">
        <f>19.12</f>
        <v>19.12</v>
      </c>
      <c r="I28" s="7" t="s">
        <v>45</v>
      </c>
      <c r="J28" s="9">
        <f>21.2</f>
        <v>21.2</v>
      </c>
    </row>
    <row r="29" spans="1:10" x14ac:dyDescent="0.2">
      <c r="A29">
        <v>23</v>
      </c>
      <c r="B29" s="19" t="s">
        <v>23</v>
      </c>
      <c r="C29" s="19" t="s">
        <v>74</v>
      </c>
      <c r="D29" s="3" t="s">
        <v>56</v>
      </c>
      <c r="E29" s="13">
        <f>0.59</f>
        <v>0.59</v>
      </c>
      <c r="F29" s="13">
        <f>5.15</f>
        <v>5.15</v>
      </c>
      <c r="G29" s="1">
        <f>0.72</f>
        <v>0.72</v>
      </c>
      <c r="H29" s="14">
        <f>-0.54</f>
        <v>-0.54</v>
      </c>
      <c r="I29" t="s">
        <v>73</v>
      </c>
      <c r="J29" s="1">
        <f>19.4</f>
        <v>19.399999999999999</v>
      </c>
    </row>
    <row r="30" spans="1:10" x14ac:dyDescent="0.2">
      <c r="A30">
        <v>24</v>
      </c>
      <c r="B30" t="s">
        <v>24</v>
      </c>
      <c r="C30" t="s">
        <v>76</v>
      </c>
      <c r="D30" s="3">
        <f>171.7</f>
        <v>171.7</v>
      </c>
      <c r="E30" s="13">
        <f>0.71</f>
        <v>0.71</v>
      </c>
      <c r="F30" s="13">
        <f>5.46</f>
        <v>5.46</v>
      </c>
      <c r="G30" s="1">
        <f>0.25</f>
        <v>0.25</v>
      </c>
      <c r="H30" s="14">
        <f>0.05</f>
        <v>0.05</v>
      </c>
      <c r="I30" t="s">
        <v>75</v>
      </c>
      <c r="J30" s="1">
        <f>9.15</f>
        <v>9.15</v>
      </c>
    </row>
    <row r="31" spans="1:10" x14ac:dyDescent="0.2">
      <c r="A31">
        <v>25</v>
      </c>
      <c r="B31" t="s">
        <v>25</v>
      </c>
      <c r="C31" t="s">
        <v>78</v>
      </c>
      <c r="D31" s="3">
        <f>11.02</f>
        <v>11.02</v>
      </c>
      <c r="E31" s="1">
        <f>1.56</f>
        <v>1.56</v>
      </c>
      <c r="F31" s="13">
        <f>7.76</f>
        <v>7.76</v>
      </c>
      <c r="G31" s="1">
        <f>1</f>
        <v>1</v>
      </c>
      <c r="H31" s="14">
        <f>1.46</f>
        <v>1.46</v>
      </c>
      <c r="I31" t="s">
        <v>77</v>
      </c>
      <c r="J31" s="1">
        <f>16.1</f>
        <v>16.100000000000001</v>
      </c>
    </row>
    <row r="32" spans="1:10" s="7" customFormat="1" ht="17" thickBot="1" x14ac:dyDescent="0.25">
      <c r="A32" s="20">
        <v>26</v>
      </c>
      <c r="B32" s="20" t="s">
        <v>26</v>
      </c>
      <c r="C32" s="20" t="s">
        <v>79</v>
      </c>
      <c r="D32" s="8">
        <f>8.06</f>
        <v>8.06</v>
      </c>
      <c r="E32" s="13">
        <f>0.76</f>
        <v>0.76</v>
      </c>
      <c r="F32" s="13">
        <f>6.31</f>
        <v>6.31</v>
      </c>
      <c r="G32" s="9">
        <f>1.2</f>
        <v>1.2</v>
      </c>
      <c r="H32" s="17">
        <f>6.3</f>
        <v>6.3</v>
      </c>
      <c r="I32" s="7" t="s">
        <v>64</v>
      </c>
      <c r="J32" s="9">
        <f>50.75</f>
        <v>50.75</v>
      </c>
    </row>
    <row r="33" spans="1:10" s="26" customFormat="1" ht="17" thickBot="1" x14ac:dyDescent="0.25">
      <c r="A33" s="26">
        <v>27</v>
      </c>
      <c r="B33" s="40" t="s">
        <v>27</v>
      </c>
      <c r="C33" s="26" t="s">
        <v>80</v>
      </c>
      <c r="D33" s="22">
        <f>10.97</f>
        <v>10.97</v>
      </c>
      <c r="E33" s="24">
        <f>1.89</f>
        <v>1.89</v>
      </c>
      <c r="F33" s="23">
        <f>7.75</f>
        <v>7.75</v>
      </c>
      <c r="G33" s="24">
        <f>2</f>
        <v>2</v>
      </c>
      <c r="H33" s="25">
        <f>9.12</f>
        <v>9.1199999999999992</v>
      </c>
      <c r="I33" s="26" t="s">
        <v>64</v>
      </c>
      <c r="J33" s="36">
        <f>100</f>
        <v>100</v>
      </c>
    </row>
    <row r="34" spans="1:10" s="7" customFormat="1" x14ac:dyDescent="0.2">
      <c r="A34" s="20">
        <v>28</v>
      </c>
      <c r="B34" s="20" t="s">
        <v>28</v>
      </c>
      <c r="C34" s="20" t="s">
        <v>81</v>
      </c>
      <c r="D34" s="8">
        <f>9.64</f>
        <v>9.64</v>
      </c>
      <c r="E34" s="13">
        <f>0.78</f>
        <v>0.78</v>
      </c>
      <c r="F34" s="13">
        <f>5.72</f>
        <v>5.72</v>
      </c>
      <c r="G34" s="9">
        <f>0.05</f>
        <v>0.05</v>
      </c>
      <c r="H34" s="17">
        <f>0.19</f>
        <v>0.19</v>
      </c>
      <c r="I34" s="7" t="s">
        <v>64</v>
      </c>
      <c r="J34" s="9">
        <f>1.83</f>
        <v>1.83</v>
      </c>
    </row>
    <row r="35" spans="1:10" x14ac:dyDescent="0.2">
      <c r="A35">
        <v>29</v>
      </c>
      <c r="B35" s="19" t="s">
        <v>29</v>
      </c>
      <c r="C35" s="19" t="s">
        <v>82</v>
      </c>
      <c r="D35" s="3" t="s">
        <v>56</v>
      </c>
      <c r="E35" s="1">
        <f>1.09</f>
        <v>1.0900000000000001</v>
      </c>
      <c r="F35" s="1">
        <f>3.77</f>
        <v>3.77</v>
      </c>
      <c r="G35" s="1">
        <f>0.24</f>
        <v>0.24</v>
      </c>
      <c r="H35" s="14">
        <f>-3.15</f>
        <v>-3.15</v>
      </c>
      <c r="I35" t="s">
        <v>55</v>
      </c>
      <c r="J35" s="1">
        <f>14.6</f>
        <v>14.6</v>
      </c>
    </row>
    <row r="36" spans="1:10" x14ac:dyDescent="0.2">
      <c r="A36">
        <v>30</v>
      </c>
      <c r="B36" t="s">
        <v>30</v>
      </c>
      <c r="C36" t="s">
        <v>83</v>
      </c>
      <c r="D36" s="3">
        <f>16.35</f>
        <v>16.350000000000001</v>
      </c>
      <c r="E36" s="1">
        <f>2.16</f>
        <v>2.16</v>
      </c>
      <c r="F36" s="1">
        <f>3.8</f>
        <v>3.8</v>
      </c>
      <c r="G36" s="1">
        <f>0.07</f>
        <v>7.0000000000000007E-2</v>
      </c>
      <c r="H36" s="14">
        <f>0.3</f>
        <v>0.3</v>
      </c>
      <c r="I36" t="s">
        <v>45</v>
      </c>
      <c r="J36" s="1">
        <f>4.84</f>
        <v>4.84</v>
      </c>
    </row>
    <row r="37" spans="1:10" s="10" customFormat="1" ht="15.75" thickBot="1" x14ac:dyDescent="0.25">
      <c r="B37" s="10" t="s">
        <v>91</v>
      </c>
      <c r="D37" s="11"/>
      <c r="E37" s="12"/>
      <c r="F37" s="12"/>
      <c r="G37" s="12"/>
      <c r="H37" s="18"/>
      <c r="J37" s="12"/>
    </row>
    <row r="38" spans="1:10" s="26" customFormat="1" ht="17" thickBot="1" x14ac:dyDescent="0.25">
      <c r="A38" s="26">
        <v>1</v>
      </c>
      <c r="B38" s="40" t="s">
        <v>84</v>
      </c>
      <c r="C38" s="26" t="s">
        <v>124</v>
      </c>
      <c r="D38" s="22">
        <f>8</f>
        <v>8</v>
      </c>
      <c r="E38" s="24">
        <f>2.31</f>
        <v>2.31</v>
      </c>
      <c r="F38" s="23">
        <f>6.54</f>
        <v>6.54</v>
      </c>
      <c r="G38" s="24">
        <f>1</f>
        <v>1</v>
      </c>
      <c r="H38" s="25">
        <f>1.91</f>
        <v>1.91</v>
      </c>
      <c r="I38" s="26" t="s">
        <v>77</v>
      </c>
      <c r="J38" s="36">
        <f>15.3</f>
        <v>15.3</v>
      </c>
    </row>
    <row r="39" spans="1:10" x14ac:dyDescent="0.2">
      <c r="A39">
        <v>2</v>
      </c>
      <c r="B39" t="s">
        <v>85</v>
      </c>
      <c r="C39" t="s">
        <v>125</v>
      </c>
      <c r="D39" s="3">
        <f>15.86</f>
        <v>15.86</v>
      </c>
      <c r="E39" s="1">
        <f>2.12</f>
        <v>2.12</v>
      </c>
      <c r="F39" s="1">
        <f>1.26</f>
        <v>1.26</v>
      </c>
      <c r="G39" s="1">
        <f>0.29</f>
        <v>0.28999999999999998</v>
      </c>
      <c r="H39" s="14">
        <f>1.4</f>
        <v>1.4</v>
      </c>
      <c r="I39" t="s">
        <v>46</v>
      </c>
      <c r="J39" s="1">
        <f>21.4</f>
        <v>21.4</v>
      </c>
    </row>
    <row r="40" spans="1:10" s="7" customFormat="1" x14ac:dyDescent="0.2">
      <c r="A40" s="7">
        <v>3</v>
      </c>
      <c r="B40" s="7" t="s">
        <v>86</v>
      </c>
      <c r="C40" s="7" t="s">
        <v>127</v>
      </c>
      <c r="D40" s="8">
        <f>5.49</f>
        <v>5.49</v>
      </c>
      <c r="E40" s="13">
        <f>0.81</f>
        <v>0.81</v>
      </c>
      <c r="F40" s="9">
        <f>2.74</f>
        <v>2.74</v>
      </c>
      <c r="G40" s="9">
        <f>1.7</f>
        <v>1.7</v>
      </c>
      <c r="H40" s="17">
        <f>9.99</f>
        <v>9.99</v>
      </c>
      <c r="I40" s="7" t="s">
        <v>126</v>
      </c>
      <c r="J40" s="9">
        <f>62</f>
        <v>62</v>
      </c>
    </row>
    <row r="41" spans="1:10" s="7" customFormat="1" x14ac:dyDescent="0.2">
      <c r="A41" s="7">
        <v>4</v>
      </c>
      <c r="B41" s="7" t="s">
        <v>87</v>
      </c>
      <c r="C41" s="7" t="s">
        <v>129</v>
      </c>
      <c r="D41" s="8">
        <f>8.02</f>
        <v>8.02</v>
      </c>
      <c r="E41" s="9">
        <f>2.9</f>
        <v>2.9</v>
      </c>
      <c r="F41" s="9">
        <f>1.49</f>
        <v>1.49</v>
      </c>
      <c r="G41" s="9">
        <f>0.01</f>
        <v>0.01</v>
      </c>
      <c r="H41" s="17">
        <f>0.42</f>
        <v>0.42</v>
      </c>
      <c r="I41" s="7" t="s">
        <v>128</v>
      </c>
      <c r="J41" s="9">
        <f>3.36</f>
        <v>3.36</v>
      </c>
    </row>
    <row r="42" spans="1:10" s="7" customFormat="1" x14ac:dyDescent="0.2">
      <c r="A42" s="7">
        <v>5</v>
      </c>
      <c r="B42" s="7" t="s">
        <v>88</v>
      </c>
      <c r="C42" s="7" t="s">
        <v>130</v>
      </c>
      <c r="D42" s="8">
        <f>5.65</f>
        <v>5.65</v>
      </c>
      <c r="E42" s="9">
        <f>2.09</f>
        <v>2.09</v>
      </c>
      <c r="F42" s="13">
        <f>8.94</f>
        <v>8.94</v>
      </c>
      <c r="G42" s="9">
        <f>0.15</f>
        <v>0.15</v>
      </c>
      <c r="H42" s="17">
        <f>1.17</f>
        <v>1.17</v>
      </c>
      <c r="I42" s="7" t="s">
        <v>45</v>
      </c>
      <c r="J42" s="9">
        <f>6.6</f>
        <v>6.6</v>
      </c>
    </row>
    <row r="43" spans="1:10" s="7" customFormat="1" x14ac:dyDescent="0.2">
      <c r="A43" s="7">
        <v>6</v>
      </c>
      <c r="B43" s="7" t="s">
        <v>89</v>
      </c>
      <c r="C43" s="7" t="s">
        <v>131</v>
      </c>
      <c r="D43" s="8">
        <f>7.97</f>
        <v>7.97</v>
      </c>
      <c r="E43" s="13">
        <f>0.73</f>
        <v>0.73</v>
      </c>
      <c r="F43" s="9" t="s">
        <v>56</v>
      </c>
      <c r="G43" s="9">
        <f>0.03</f>
        <v>0.03</v>
      </c>
      <c r="H43" s="17">
        <f>0.18</f>
        <v>0.18</v>
      </c>
      <c r="I43" s="7" t="s">
        <v>77</v>
      </c>
      <c r="J43" s="9">
        <f>1.4</f>
        <v>1.4</v>
      </c>
    </row>
    <row r="44" spans="1:10" s="7" customFormat="1" x14ac:dyDescent="0.2">
      <c r="A44" s="7">
        <v>7</v>
      </c>
      <c r="B44" s="7" t="s">
        <v>90</v>
      </c>
      <c r="C44" s="7" t="s">
        <v>133</v>
      </c>
      <c r="D44" s="8">
        <f>9.36</f>
        <v>9.36</v>
      </c>
      <c r="E44" s="9">
        <f>1.02</f>
        <v>1.02</v>
      </c>
      <c r="F44" s="13">
        <f>5.5</f>
        <v>5.5</v>
      </c>
      <c r="G44" s="9">
        <f>1.75</f>
        <v>1.75</v>
      </c>
      <c r="H44" s="17">
        <f>3.21</f>
        <v>3.21</v>
      </c>
      <c r="I44" s="7" t="s">
        <v>132</v>
      </c>
      <c r="J44" s="9">
        <f>30</f>
        <v>30</v>
      </c>
    </row>
    <row r="45" spans="1:10" x14ac:dyDescent="0.2">
      <c r="A45">
        <v>8</v>
      </c>
      <c r="B45" t="s">
        <v>92</v>
      </c>
      <c r="C45" t="s">
        <v>134</v>
      </c>
      <c r="D45" s="3">
        <f>10.91</f>
        <v>10.91</v>
      </c>
      <c r="E45" s="1">
        <f>1.52</f>
        <v>1.52</v>
      </c>
      <c r="F45" s="1">
        <f>3.92</f>
        <v>3.92</v>
      </c>
      <c r="G45" s="1">
        <f>0.08</f>
        <v>0.08</v>
      </c>
      <c r="H45" s="14">
        <f>0.19</f>
        <v>0.19</v>
      </c>
      <c r="I45" t="s">
        <v>128</v>
      </c>
      <c r="J45" s="1">
        <f>2.04</f>
        <v>2.04</v>
      </c>
    </row>
    <row r="46" spans="1:10" x14ac:dyDescent="0.2">
      <c r="A46">
        <v>9</v>
      </c>
      <c r="B46" t="s">
        <v>93</v>
      </c>
      <c r="C46" t="s">
        <v>135</v>
      </c>
      <c r="D46" s="3">
        <f>19.73</f>
        <v>19.73</v>
      </c>
      <c r="E46" s="1">
        <f>3.72</f>
        <v>3.72</v>
      </c>
      <c r="F46" s="13">
        <f>5.99</f>
        <v>5.99</v>
      </c>
      <c r="G46" s="1">
        <f>0.5</f>
        <v>0.5</v>
      </c>
      <c r="H46" s="14">
        <f>0.85</f>
        <v>0.85</v>
      </c>
      <c r="I46" t="s">
        <v>55</v>
      </c>
      <c r="J46" s="1">
        <f>16.7</f>
        <v>16.7</v>
      </c>
    </row>
    <row r="47" spans="1:10" x14ac:dyDescent="0.2">
      <c r="A47">
        <v>10</v>
      </c>
      <c r="B47" t="s">
        <v>94</v>
      </c>
      <c r="C47" t="s">
        <v>136</v>
      </c>
      <c r="D47" s="3">
        <f>14.84</f>
        <v>14.84</v>
      </c>
      <c r="E47" s="1">
        <f>1.57</f>
        <v>1.57</v>
      </c>
      <c r="F47" s="1">
        <f>3.68</f>
        <v>3.68</v>
      </c>
      <c r="G47" s="1">
        <f>0.12</f>
        <v>0.12</v>
      </c>
      <c r="H47" s="14">
        <f>0.37</f>
        <v>0.37</v>
      </c>
      <c r="I47" t="s">
        <v>77</v>
      </c>
      <c r="J47" s="1">
        <f>6.8</f>
        <v>6.8</v>
      </c>
    </row>
    <row r="48" spans="1:10" x14ac:dyDescent="0.2">
      <c r="A48">
        <v>11</v>
      </c>
      <c r="B48" t="s">
        <v>95</v>
      </c>
      <c r="C48" t="s">
        <v>137</v>
      </c>
      <c r="D48" s="3">
        <f>12.23</f>
        <v>12.23</v>
      </c>
      <c r="E48" s="1">
        <f>1.67</f>
        <v>1.67</v>
      </c>
      <c r="F48" s="1">
        <f>3.97</f>
        <v>3.97</v>
      </c>
      <c r="G48" s="1">
        <f>0.03</f>
        <v>0.03</v>
      </c>
      <c r="H48" s="14">
        <f>0.21</f>
        <v>0.21</v>
      </c>
      <c r="I48" t="s">
        <v>126</v>
      </c>
      <c r="J48" s="1">
        <f>2.52</f>
        <v>2.52</v>
      </c>
    </row>
    <row r="49" spans="1:10" x14ac:dyDescent="0.2">
      <c r="A49">
        <v>12</v>
      </c>
      <c r="B49" t="s">
        <v>96</v>
      </c>
      <c r="C49" t="s">
        <v>138</v>
      </c>
      <c r="D49" s="3">
        <f>10.04</f>
        <v>10.039999999999999</v>
      </c>
      <c r="E49" s="13">
        <f>0.79</f>
        <v>0.79</v>
      </c>
      <c r="F49" s="13">
        <f>5</f>
        <v>5</v>
      </c>
      <c r="G49" s="1">
        <f>0.02</f>
        <v>0.02</v>
      </c>
      <c r="H49" s="14">
        <f>0.04</f>
        <v>0.04</v>
      </c>
      <c r="I49" t="s">
        <v>77</v>
      </c>
      <c r="J49" s="1">
        <f>0.4</f>
        <v>0.4</v>
      </c>
    </row>
    <row r="50" spans="1:10" x14ac:dyDescent="0.2">
      <c r="A50">
        <v>13</v>
      </c>
      <c r="B50" t="s">
        <v>97</v>
      </c>
      <c r="C50" t="s">
        <v>139</v>
      </c>
      <c r="D50" s="3">
        <f>14.75</f>
        <v>14.75</v>
      </c>
      <c r="E50" s="1">
        <f>1.34</f>
        <v>1.34</v>
      </c>
      <c r="F50" s="1">
        <f>1.62</f>
        <v>1.62</v>
      </c>
      <c r="G50" s="1">
        <f>0.15</f>
        <v>0.15</v>
      </c>
      <c r="H50" s="14">
        <f>0.61</f>
        <v>0.61</v>
      </c>
      <c r="I50" t="s">
        <v>31</v>
      </c>
      <c r="J50" s="1">
        <f>9</f>
        <v>9</v>
      </c>
    </row>
    <row r="51" spans="1:10" s="7" customFormat="1" x14ac:dyDescent="0.2">
      <c r="A51" s="7">
        <v>14</v>
      </c>
      <c r="B51" s="7" t="s">
        <v>98</v>
      </c>
      <c r="C51" s="7" t="s">
        <v>141</v>
      </c>
      <c r="D51" s="8">
        <f>9.34</f>
        <v>9.34</v>
      </c>
      <c r="E51" s="9">
        <f>1.37</f>
        <v>1.37</v>
      </c>
      <c r="F51" s="9">
        <f>4.51</f>
        <v>4.51</v>
      </c>
      <c r="G51" s="9">
        <f>0.39</f>
        <v>0.39</v>
      </c>
      <c r="H51" s="17">
        <f>0.93</f>
        <v>0.93</v>
      </c>
      <c r="I51" s="7" t="s">
        <v>140</v>
      </c>
      <c r="J51" s="9">
        <f>8.65</f>
        <v>8.65</v>
      </c>
    </row>
    <row r="52" spans="1:10" x14ac:dyDescent="0.2">
      <c r="A52">
        <v>15</v>
      </c>
      <c r="B52" t="s">
        <v>99</v>
      </c>
      <c r="C52" t="s">
        <v>142</v>
      </c>
      <c r="D52" s="3">
        <f>17.07</f>
        <v>17.07</v>
      </c>
      <c r="E52" s="1">
        <f>2.56</f>
        <v>2.56</v>
      </c>
      <c r="F52" s="1">
        <f>2.15</f>
        <v>2.15</v>
      </c>
      <c r="G52" s="1">
        <f>2</f>
        <v>2</v>
      </c>
      <c r="H52" s="14">
        <f>5.45</f>
        <v>5.45</v>
      </c>
      <c r="I52" t="s">
        <v>47</v>
      </c>
      <c r="J52" s="1">
        <f>93</f>
        <v>93</v>
      </c>
    </row>
    <row r="53" spans="1:10" ht="15.75" thickBot="1" x14ac:dyDescent="0.25">
      <c r="A53">
        <v>16</v>
      </c>
      <c r="B53" t="s">
        <v>100</v>
      </c>
      <c r="C53" t="s">
        <v>144</v>
      </c>
      <c r="D53" s="3">
        <f>14.54</f>
        <v>14.54</v>
      </c>
      <c r="E53" s="1">
        <f>6.33</f>
        <v>6.33</v>
      </c>
      <c r="F53" s="1">
        <f>3.32</f>
        <v>3.32</v>
      </c>
      <c r="G53" s="1">
        <f>0.53</f>
        <v>0.53</v>
      </c>
      <c r="H53" s="14">
        <f>1.84</f>
        <v>1.84</v>
      </c>
      <c r="I53" t="s">
        <v>143</v>
      </c>
      <c r="J53" s="1">
        <f>26.75</f>
        <v>26.75</v>
      </c>
    </row>
    <row r="54" spans="1:10" s="31" customFormat="1" ht="17" thickBot="1" x14ac:dyDescent="0.25">
      <c r="A54" s="27">
        <v>17</v>
      </c>
      <c r="B54" s="39" t="s">
        <v>101</v>
      </c>
      <c r="C54" s="27" t="s">
        <v>145</v>
      </c>
      <c r="D54" s="28">
        <f>7.59</f>
        <v>7.59</v>
      </c>
      <c r="E54" s="23">
        <f>0.83</f>
        <v>0.83</v>
      </c>
      <c r="F54" s="23">
        <f>7.27</f>
        <v>7.27</v>
      </c>
      <c r="G54" s="29">
        <f>0.12</f>
        <v>0.12</v>
      </c>
      <c r="H54" s="30">
        <f>0.44</f>
        <v>0.44</v>
      </c>
      <c r="I54" s="31" t="s">
        <v>48</v>
      </c>
      <c r="J54" s="37">
        <f>3.3</f>
        <v>3.3</v>
      </c>
    </row>
    <row r="55" spans="1:10" s="7" customFormat="1" x14ac:dyDescent="0.2">
      <c r="A55" s="7">
        <v>18</v>
      </c>
      <c r="B55" s="7" t="s">
        <v>102</v>
      </c>
      <c r="C55" s="7" t="s">
        <v>146</v>
      </c>
      <c r="D55" s="8">
        <f>9.75</f>
        <v>9.75</v>
      </c>
      <c r="E55" s="13">
        <f>0.4</f>
        <v>0.4</v>
      </c>
      <c r="F55" s="9" t="s">
        <v>56</v>
      </c>
      <c r="G55" s="9" t="s">
        <v>56</v>
      </c>
      <c r="H55" s="17">
        <f>2.9</f>
        <v>2.9</v>
      </c>
      <c r="I55" s="7" t="s">
        <v>55</v>
      </c>
      <c r="J55" s="9">
        <f>28.25</f>
        <v>28.25</v>
      </c>
    </row>
    <row r="56" spans="1:10" x14ac:dyDescent="0.2">
      <c r="A56">
        <v>19</v>
      </c>
      <c r="B56" t="s">
        <v>103</v>
      </c>
      <c r="C56" t="s">
        <v>148</v>
      </c>
      <c r="D56" s="3">
        <f>18</f>
        <v>18</v>
      </c>
      <c r="E56" s="1">
        <f>2.6</f>
        <v>2.6</v>
      </c>
      <c r="F56" s="1">
        <f>2.43</f>
        <v>2.4300000000000002</v>
      </c>
      <c r="G56" s="1">
        <f>0.05</f>
        <v>0.05</v>
      </c>
      <c r="H56" s="14">
        <f>0.19</f>
        <v>0.19</v>
      </c>
      <c r="I56" t="s">
        <v>147</v>
      </c>
      <c r="J56" s="1">
        <f>3.5</f>
        <v>3.5</v>
      </c>
    </row>
    <row r="57" spans="1:10" x14ac:dyDescent="0.2">
      <c r="A57">
        <v>20</v>
      </c>
      <c r="B57" t="s">
        <v>104</v>
      </c>
      <c r="C57" t="s">
        <v>150</v>
      </c>
      <c r="D57" s="3">
        <f>10.02</f>
        <v>10.02</v>
      </c>
      <c r="E57" s="1">
        <f>1.17</f>
        <v>1.17</v>
      </c>
      <c r="F57" s="13">
        <f>6.63</f>
        <v>6.63</v>
      </c>
      <c r="G57" s="1">
        <f>0.07</f>
        <v>7.0000000000000007E-2</v>
      </c>
      <c r="H57" s="14">
        <f>0.18</f>
        <v>0.18</v>
      </c>
      <c r="I57" t="s">
        <v>149</v>
      </c>
      <c r="J57" s="1">
        <f>1.81</f>
        <v>1.81</v>
      </c>
    </row>
    <row r="58" spans="1:10" x14ac:dyDescent="0.2">
      <c r="A58">
        <v>21</v>
      </c>
      <c r="B58" t="s">
        <v>105</v>
      </c>
      <c r="C58" t="s">
        <v>152</v>
      </c>
      <c r="D58" s="3">
        <f>12.91</f>
        <v>12.91</v>
      </c>
      <c r="E58" s="13">
        <f>0.69</f>
        <v>0.69</v>
      </c>
      <c r="F58" s="1">
        <f>3.76</f>
        <v>3.76</v>
      </c>
      <c r="G58" s="1" t="s">
        <v>56</v>
      </c>
      <c r="H58" s="14">
        <f>1.03</f>
        <v>1.03</v>
      </c>
      <c r="I58" t="s">
        <v>151</v>
      </c>
      <c r="J58" s="1">
        <f>13.3</f>
        <v>13.3</v>
      </c>
    </row>
    <row r="59" spans="1:10" x14ac:dyDescent="0.2">
      <c r="A59">
        <v>22</v>
      </c>
      <c r="B59" t="s">
        <v>106</v>
      </c>
      <c r="C59" t="s">
        <v>154</v>
      </c>
      <c r="D59" s="3">
        <f>16.54</f>
        <v>16.54</v>
      </c>
      <c r="E59" s="1">
        <f>2.95</f>
        <v>2.95</v>
      </c>
      <c r="F59" s="13">
        <f>5.88</f>
        <v>5.88</v>
      </c>
      <c r="G59" s="1">
        <f>0.2</f>
        <v>0.2</v>
      </c>
      <c r="H59" s="14">
        <f>0.41</f>
        <v>0.41</v>
      </c>
      <c r="I59" t="s">
        <v>153</v>
      </c>
      <c r="J59" s="1">
        <f>6.8</f>
        <v>6.8</v>
      </c>
    </row>
    <row r="60" spans="1:10" x14ac:dyDescent="0.2">
      <c r="A60">
        <v>23</v>
      </c>
      <c r="B60" t="s">
        <v>107</v>
      </c>
      <c r="C60" t="s">
        <v>155</v>
      </c>
      <c r="D60" s="3">
        <f>25.82</f>
        <v>25.82</v>
      </c>
      <c r="E60" s="1">
        <f>8.44</f>
        <v>8.44</v>
      </c>
      <c r="F60" s="1">
        <f>1.95</f>
        <v>1.95</v>
      </c>
      <c r="G60" s="1">
        <f>0.05</f>
        <v>0.05</v>
      </c>
      <c r="H60" s="14">
        <f>1.3</f>
        <v>1.3</v>
      </c>
      <c r="I60" t="s">
        <v>147</v>
      </c>
      <c r="J60" s="1">
        <f>33.25</f>
        <v>33.25</v>
      </c>
    </row>
    <row r="61" spans="1:10" s="7" customFormat="1" x14ac:dyDescent="0.2">
      <c r="A61" s="7">
        <v>24</v>
      </c>
      <c r="B61" s="7" t="s">
        <v>108</v>
      </c>
      <c r="C61" s="7" t="s">
        <v>156</v>
      </c>
      <c r="D61" s="8">
        <f>9.36</f>
        <v>9.36</v>
      </c>
      <c r="E61" s="9">
        <f>1.04</f>
        <v>1.04</v>
      </c>
      <c r="F61" s="9">
        <f>3.85</f>
        <v>3.85</v>
      </c>
      <c r="G61" s="9">
        <f>0.35</f>
        <v>0.35</v>
      </c>
      <c r="H61" s="17">
        <f>1.14</f>
        <v>1.1399999999999999</v>
      </c>
      <c r="I61" s="7" t="s">
        <v>126</v>
      </c>
      <c r="J61" s="9">
        <f>10.7</f>
        <v>10.7</v>
      </c>
    </row>
    <row r="62" spans="1:10" ht="15" x14ac:dyDescent="0.2">
      <c r="A62">
        <v>25</v>
      </c>
      <c r="B62" t="s">
        <v>109</v>
      </c>
      <c r="C62" t="s">
        <v>157</v>
      </c>
      <c r="D62" s="3">
        <f>15.55</f>
        <v>15.55</v>
      </c>
      <c r="E62" s="1">
        <f>1.43</f>
        <v>1.43</v>
      </c>
      <c r="F62" s="1">
        <f>3.88</f>
        <v>3.88</v>
      </c>
      <c r="G62" s="1">
        <f>0.16</f>
        <v>0.16</v>
      </c>
      <c r="H62" s="14">
        <f>0.27</f>
        <v>0.27</v>
      </c>
      <c r="I62" t="s">
        <v>147</v>
      </c>
      <c r="J62" s="1">
        <f>4.12</f>
        <v>4.12</v>
      </c>
    </row>
    <row r="63" spans="1:10" s="7" customFormat="1" x14ac:dyDescent="0.2">
      <c r="A63" s="20">
        <v>26</v>
      </c>
      <c r="B63" s="20" t="s">
        <v>110</v>
      </c>
      <c r="C63" s="20" t="s">
        <v>158</v>
      </c>
      <c r="D63" s="8">
        <f>9.5</f>
        <v>9.5</v>
      </c>
      <c r="E63" s="13">
        <f>0.72</f>
        <v>0.72</v>
      </c>
      <c r="F63" s="13">
        <f>6.98</f>
        <v>6.98</v>
      </c>
      <c r="G63" s="9">
        <f>1.18</f>
        <v>1.18</v>
      </c>
      <c r="H63" s="17">
        <f>1.78</f>
        <v>1.78</v>
      </c>
      <c r="I63" s="7" t="s">
        <v>60</v>
      </c>
      <c r="J63" s="9">
        <v>16.899999999999999</v>
      </c>
    </row>
    <row r="64" spans="1:10" x14ac:dyDescent="0.2">
      <c r="A64">
        <v>27</v>
      </c>
      <c r="B64" t="s">
        <v>111</v>
      </c>
      <c r="C64" t="s">
        <v>160</v>
      </c>
      <c r="D64" s="3">
        <f>17.94</f>
        <v>17.940000000000001</v>
      </c>
      <c r="E64" s="1">
        <f>3.84</f>
        <v>3.84</v>
      </c>
      <c r="F64" s="1">
        <f>3.9</f>
        <v>3.9</v>
      </c>
      <c r="G64" s="1">
        <f>0.8</f>
        <v>0.8</v>
      </c>
      <c r="H64" s="14">
        <f>2.29</f>
        <v>2.29</v>
      </c>
      <c r="I64" t="s">
        <v>159</v>
      </c>
      <c r="J64" s="1">
        <f>41</f>
        <v>41</v>
      </c>
    </row>
    <row r="65" spans="1:10" x14ac:dyDescent="0.2">
      <c r="A65">
        <v>28</v>
      </c>
      <c r="B65" t="s">
        <v>112</v>
      </c>
      <c r="C65" t="s">
        <v>162</v>
      </c>
      <c r="D65" s="3">
        <f>10.44</f>
        <v>10.44</v>
      </c>
      <c r="E65" s="13">
        <f>0.83</f>
        <v>0.83</v>
      </c>
      <c r="F65" s="13">
        <f>7.24</f>
        <v>7.24</v>
      </c>
      <c r="G65" s="1">
        <f>0.12</f>
        <v>0.12</v>
      </c>
      <c r="H65" s="14">
        <f>0.29</f>
        <v>0.28999999999999998</v>
      </c>
      <c r="I65" t="s">
        <v>161</v>
      </c>
      <c r="J65" s="1">
        <f>3.04</f>
        <v>3.04</v>
      </c>
    </row>
    <row r="66" spans="1:10" x14ac:dyDescent="0.2">
      <c r="A66">
        <v>29</v>
      </c>
      <c r="B66" t="s">
        <v>113</v>
      </c>
      <c r="C66" t="s">
        <v>133</v>
      </c>
      <c r="D66" s="3">
        <f>13.64</f>
        <v>13.64</v>
      </c>
      <c r="E66" s="13">
        <f>0.76</f>
        <v>0.76</v>
      </c>
      <c r="F66" s="1">
        <f>1.5</f>
        <v>1.5</v>
      </c>
      <c r="G66" s="1">
        <f>0.02</f>
        <v>0.02</v>
      </c>
      <c r="H66" s="14">
        <f>0.09</f>
        <v>0.09</v>
      </c>
      <c r="I66" t="s">
        <v>163</v>
      </c>
      <c r="J66" s="1">
        <f>1.2</f>
        <v>1.2</v>
      </c>
    </row>
    <row r="67" spans="1:10" s="7" customFormat="1" x14ac:dyDescent="0.2">
      <c r="A67" s="7">
        <v>30</v>
      </c>
      <c r="B67" s="7" t="s">
        <v>114</v>
      </c>
      <c r="C67" s="7" t="s">
        <v>164</v>
      </c>
      <c r="D67" s="8">
        <f>6.62</f>
        <v>6.62</v>
      </c>
      <c r="E67" s="13">
        <f>0.52</f>
        <v>0.52</v>
      </c>
      <c r="F67" s="9">
        <f>4.84</f>
        <v>4.84</v>
      </c>
      <c r="G67" s="9">
        <f>2</f>
        <v>2</v>
      </c>
      <c r="H67" s="17">
        <f>21.81</f>
        <v>21.81</v>
      </c>
      <c r="I67" s="7" t="s">
        <v>64</v>
      </c>
      <c r="J67" s="9">
        <f>144.5</f>
        <v>144.5</v>
      </c>
    </row>
    <row r="68" spans="1:10" s="7" customFormat="1" ht="17" thickBot="1" x14ac:dyDescent="0.25">
      <c r="A68" s="20">
        <v>31</v>
      </c>
      <c r="B68" s="20" t="s">
        <v>115</v>
      </c>
      <c r="C68" s="20" t="s">
        <v>165</v>
      </c>
      <c r="D68" s="8">
        <f>8.31</f>
        <v>8.31</v>
      </c>
      <c r="E68" s="13">
        <f>0.45</f>
        <v>0.45</v>
      </c>
      <c r="F68" s="13">
        <f>5.56</f>
        <v>5.56</v>
      </c>
      <c r="G68" s="9">
        <f>1.5</f>
        <v>1.5</v>
      </c>
      <c r="H68" s="17">
        <f>3.24</f>
        <v>3.24</v>
      </c>
      <c r="I68" s="7" t="s">
        <v>140</v>
      </c>
      <c r="J68" s="9">
        <f>26.25</f>
        <v>26.25</v>
      </c>
    </row>
    <row r="69" spans="1:10" s="26" customFormat="1" ht="17" thickBot="1" x14ac:dyDescent="0.25">
      <c r="A69" s="26">
        <v>32</v>
      </c>
      <c r="B69" s="40" t="s">
        <v>116</v>
      </c>
      <c r="C69" s="26" t="s">
        <v>166</v>
      </c>
      <c r="D69" s="22">
        <f>4.6</f>
        <v>4.5999999999999996</v>
      </c>
      <c r="E69" s="23">
        <f>0.84</f>
        <v>0.84</v>
      </c>
      <c r="F69" s="24">
        <f>4.52</f>
        <v>4.5199999999999996</v>
      </c>
      <c r="G69" s="24">
        <f>1.5</f>
        <v>1.5</v>
      </c>
      <c r="H69" s="25">
        <f>9.27</f>
        <v>9.27</v>
      </c>
      <c r="I69" s="26" t="s">
        <v>48</v>
      </c>
      <c r="J69" s="36">
        <f>44.25</f>
        <v>44.25</v>
      </c>
    </row>
    <row r="70" spans="1:10" s="7" customFormat="1" x14ac:dyDescent="0.2">
      <c r="A70" s="7">
        <v>33</v>
      </c>
      <c r="B70" s="7" t="s">
        <v>117</v>
      </c>
      <c r="C70" s="7" t="s">
        <v>167</v>
      </c>
      <c r="D70" s="8">
        <f>9.24</f>
        <v>9.24</v>
      </c>
      <c r="E70" s="9">
        <f>1.44</f>
        <v>1.44</v>
      </c>
      <c r="F70" s="13">
        <f>7.89</f>
        <v>7.89</v>
      </c>
      <c r="G70" s="9">
        <f>0.12</f>
        <v>0.12</v>
      </c>
      <c r="H70" s="17">
        <f>0.29</f>
        <v>0.28999999999999998</v>
      </c>
      <c r="I70" s="7" t="s">
        <v>147</v>
      </c>
      <c r="J70" s="9">
        <f>2.66</f>
        <v>2.66</v>
      </c>
    </row>
    <row r="71" spans="1:10" ht="15" x14ac:dyDescent="0.2">
      <c r="A71">
        <v>34</v>
      </c>
      <c r="B71" t="s">
        <v>118</v>
      </c>
      <c r="C71" t="s">
        <v>168</v>
      </c>
      <c r="D71" s="3">
        <f>12.5</f>
        <v>12.5</v>
      </c>
      <c r="E71" s="1">
        <f>1.7</f>
        <v>1.7</v>
      </c>
      <c r="F71" s="1">
        <f>3.49</f>
        <v>3.49</v>
      </c>
      <c r="G71" s="1">
        <f>0.15</f>
        <v>0.15</v>
      </c>
      <c r="H71" s="14">
        <f>0.36</f>
        <v>0.36</v>
      </c>
      <c r="I71" t="s">
        <v>153</v>
      </c>
      <c r="J71" s="1">
        <f>4.3</f>
        <v>4.3</v>
      </c>
    </row>
    <row r="72" spans="1:10" s="7" customFormat="1" x14ac:dyDescent="0.2">
      <c r="A72" s="20">
        <v>35</v>
      </c>
      <c r="B72" s="20" t="s">
        <v>119</v>
      </c>
      <c r="C72" s="20" t="s">
        <v>169</v>
      </c>
      <c r="D72" s="8">
        <f>9.06</f>
        <v>9.06</v>
      </c>
      <c r="E72" s="13">
        <f>0.78</f>
        <v>0.78</v>
      </c>
      <c r="F72" s="13">
        <f>9.3</f>
        <v>9.3000000000000007</v>
      </c>
      <c r="G72" s="9">
        <f>20</f>
        <v>20</v>
      </c>
      <c r="H72" s="17">
        <f>16.36</f>
        <v>16.36</v>
      </c>
      <c r="I72" s="7" t="s">
        <v>163</v>
      </c>
      <c r="J72" s="9">
        <f>215</f>
        <v>215</v>
      </c>
    </row>
    <row r="73" spans="1:10" x14ac:dyDescent="0.2">
      <c r="A73">
        <v>36</v>
      </c>
      <c r="B73" t="s">
        <v>120</v>
      </c>
      <c r="C73" t="s">
        <v>170</v>
      </c>
      <c r="D73" s="3">
        <f>15.59</f>
        <v>15.59</v>
      </c>
      <c r="E73" s="1">
        <f>3.99</f>
        <v>3.99</v>
      </c>
      <c r="F73" s="13">
        <f>5.81</f>
        <v>5.81</v>
      </c>
      <c r="G73" s="1">
        <f>0.18</f>
        <v>0.18</v>
      </c>
      <c r="H73" s="14">
        <f>0.4</f>
        <v>0.4</v>
      </c>
      <c r="I73" t="s">
        <v>147</v>
      </c>
      <c r="J73" s="1">
        <f>6.2</f>
        <v>6.2</v>
      </c>
    </row>
    <row r="74" spans="1:10" s="7" customFormat="1" x14ac:dyDescent="0.2">
      <c r="A74" s="20">
        <v>37</v>
      </c>
      <c r="B74" s="20" t="s">
        <v>121</v>
      </c>
      <c r="C74" s="20" t="s">
        <v>171</v>
      </c>
      <c r="D74" s="8">
        <f>8.69</f>
        <v>8.69</v>
      </c>
      <c r="E74" s="13">
        <f>0.94</f>
        <v>0.94</v>
      </c>
      <c r="F74" s="13">
        <f>6.17</f>
        <v>6.17</v>
      </c>
      <c r="G74" s="9">
        <f>0.03</f>
        <v>0.03</v>
      </c>
      <c r="H74" s="17">
        <f>0.09</f>
        <v>0.09</v>
      </c>
      <c r="I74" s="7" t="s">
        <v>128</v>
      </c>
      <c r="J74" s="9">
        <f>0.81</f>
        <v>0.81</v>
      </c>
    </row>
    <row r="75" spans="1:10" s="7" customFormat="1" x14ac:dyDescent="0.2">
      <c r="A75" s="7">
        <v>38</v>
      </c>
      <c r="B75" s="7" t="s">
        <v>122</v>
      </c>
      <c r="C75" s="7" t="s">
        <v>172</v>
      </c>
      <c r="D75" s="8">
        <f>7.93</f>
        <v>7.93</v>
      </c>
      <c r="E75" s="13">
        <f>0.65</f>
        <v>0.65</v>
      </c>
      <c r="F75" s="9">
        <f>3.68</f>
        <v>3.68</v>
      </c>
      <c r="G75" s="9">
        <f>0.03</f>
        <v>0.03</v>
      </c>
      <c r="H75" s="17">
        <f>0.09</f>
        <v>0.09</v>
      </c>
      <c r="I75" s="7" t="s">
        <v>149</v>
      </c>
      <c r="J75" s="9">
        <f>0.68</f>
        <v>0.68</v>
      </c>
    </row>
    <row r="76" spans="1:10" x14ac:dyDescent="0.2">
      <c r="A76">
        <v>39</v>
      </c>
      <c r="B76" t="s">
        <v>123</v>
      </c>
      <c r="C76" t="s">
        <v>173</v>
      </c>
      <c r="D76" s="3">
        <f>20.3</f>
        <v>20.3</v>
      </c>
      <c r="E76" s="1">
        <f>1.87</f>
        <v>1.87</v>
      </c>
      <c r="F76" s="1">
        <f>2.03</f>
        <v>2.0299999999999998</v>
      </c>
      <c r="G76" s="1">
        <f>0.07</f>
        <v>7.0000000000000007E-2</v>
      </c>
      <c r="H76" s="14">
        <f>0.27</f>
        <v>0.27</v>
      </c>
      <c r="I76" t="s">
        <v>75</v>
      </c>
      <c r="J76" s="1">
        <f>4.92</f>
        <v>4.92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0D53-AC2C-D94F-83C9-3EA14E3D56B9}">
  <dimension ref="B1:BL62"/>
  <sheetViews>
    <sheetView tabSelected="1" workbookViewId="0">
      <pane xSplit="3" ySplit="4" topLeftCell="D12" activePane="bottomRight" state="frozen"/>
      <selection pane="topRight" activeCell="D1" sqref="D1"/>
      <selection pane="bottomLeft" activeCell="A4" sqref="A4"/>
      <selection pane="bottomRight" activeCell="AH24" sqref="AH24"/>
    </sheetView>
  </sheetViews>
  <sheetFormatPr baseColWidth="10" defaultColWidth="10.83203125" defaultRowHeight="16" outlineLevelCol="1" x14ac:dyDescent="0.2"/>
  <cols>
    <col min="1" max="1" width="2.83203125" customWidth="1"/>
    <col min="2" max="2" width="5.33203125" style="5" customWidth="1"/>
    <col min="4" max="7" width="5.33203125" customWidth="1"/>
    <col min="8" max="9" width="10.83203125" customWidth="1"/>
    <col min="10" max="13" width="5.33203125" hidden="1" customWidth="1" outlineLevel="1"/>
    <col min="14" max="15" width="10.83203125" hidden="1" customWidth="1" outlineLevel="1"/>
    <col min="16" max="19" width="5.33203125" hidden="1" customWidth="1" outlineLevel="1"/>
    <col min="20" max="21" width="10.83203125" hidden="1" customWidth="1" outlineLevel="1"/>
    <col min="22" max="25" width="5.33203125" hidden="1" customWidth="1" outlineLevel="1"/>
    <col min="26" max="27" width="10.83203125" hidden="1" customWidth="1" outlineLevel="1"/>
    <col min="28" max="31" width="5.33203125" hidden="1" customWidth="1" outlineLevel="1"/>
    <col min="32" max="33" width="10.83203125" hidden="1" customWidth="1" outlineLevel="1"/>
    <col min="34" max="34" width="10.83203125" style="54" collapsed="1"/>
    <col min="35" max="39" width="10.83203125" style="3"/>
    <col min="40" max="40" width="11.6640625" style="5" bestFit="1" customWidth="1"/>
    <col min="41" max="42" width="7.83203125" style="5" customWidth="1"/>
    <col min="43" max="58" width="7.83203125" customWidth="1"/>
  </cols>
  <sheetData>
    <row r="1" spans="2:64" ht="17" thickBot="1" x14ac:dyDescent="0.25"/>
    <row r="2" spans="2:64" ht="17" thickBot="1" x14ac:dyDescent="0.25">
      <c r="AH2" s="150" t="s">
        <v>229</v>
      </c>
      <c r="AI2" s="151"/>
      <c r="AJ2" s="153" t="s">
        <v>213</v>
      </c>
      <c r="AK2" s="154"/>
      <c r="AL2" s="83">
        <f>7.5</f>
        <v>7.5</v>
      </c>
      <c r="AM2" s="152">
        <f>8.5</f>
        <v>8.5</v>
      </c>
      <c r="AN2" s="5" t="s">
        <v>208</v>
      </c>
    </row>
    <row r="3" spans="2:64" ht="17" thickBot="1" x14ac:dyDescent="0.25">
      <c r="B3" s="135" t="s">
        <v>196</v>
      </c>
      <c r="C3" s="102" t="s">
        <v>191</v>
      </c>
      <c r="D3" s="136">
        <v>2568</v>
      </c>
      <c r="E3" s="137"/>
      <c r="F3" s="137"/>
      <c r="G3" s="137"/>
      <c r="H3" s="137"/>
      <c r="I3" s="138"/>
      <c r="J3" s="136">
        <v>2567</v>
      </c>
      <c r="K3" s="137"/>
      <c r="L3" s="137"/>
      <c r="M3" s="137"/>
      <c r="N3" s="137"/>
      <c r="O3" s="138"/>
      <c r="P3" s="136">
        <v>2566</v>
      </c>
      <c r="Q3" s="137"/>
      <c r="R3" s="137"/>
      <c r="S3" s="137"/>
      <c r="T3" s="137"/>
      <c r="U3" s="138"/>
      <c r="V3" s="136">
        <v>2565</v>
      </c>
      <c r="W3" s="137"/>
      <c r="X3" s="137"/>
      <c r="Y3" s="137"/>
      <c r="Z3" s="137"/>
      <c r="AA3" s="138"/>
      <c r="AB3" s="136">
        <v>2564</v>
      </c>
      <c r="AC3" s="137"/>
      <c r="AD3" s="137"/>
      <c r="AE3" s="137"/>
      <c r="AF3" s="137"/>
      <c r="AG3" s="138"/>
      <c r="AH3" s="142" t="s">
        <v>193</v>
      </c>
      <c r="AI3" s="94" t="s">
        <v>195</v>
      </c>
      <c r="AJ3" s="90" t="s">
        <v>201</v>
      </c>
      <c r="AK3" s="94" t="s">
        <v>195</v>
      </c>
      <c r="AL3" s="90" t="s">
        <v>209</v>
      </c>
      <c r="AM3" s="94" t="s">
        <v>211</v>
      </c>
      <c r="AN3" s="5" t="s">
        <v>198</v>
      </c>
      <c r="AO3" s="139" t="s">
        <v>228</v>
      </c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1"/>
    </row>
    <row r="4" spans="2:64" ht="17" thickBot="1" x14ac:dyDescent="0.25">
      <c r="B4" s="135"/>
      <c r="C4" s="102" t="s">
        <v>186</v>
      </c>
      <c r="D4" s="44" t="s">
        <v>190</v>
      </c>
      <c r="E4" s="42" t="s">
        <v>189</v>
      </c>
      <c r="F4" s="43" t="s">
        <v>187</v>
      </c>
      <c r="G4" s="43" t="s">
        <v>188</v>
      </c>
      <c r="H4" s="50" t="s">
        <v>192</v>
      </c>
      <c r="I4" s="58" t="s">
        <v>197</v>
      </c>
      <c r="J4" s="44" t="s">
        <v>190</v>
      </c>
      <c r="K4" s="42" t="s">
        <v>189</v>
      </c>
      <c r="L4" s="43" t="s">
        <v>187</v>
      </c>
      <c r="M4" s="43" t="s">
        <v>188</v>
      </c>
      <c r="N4" s="50" t="s">
        <v>192</v>
      </c>
      <c r="O4" s="55" t="s">
        <v>197</v>
      </c>
      <c r="P4" s="44" t="s">
        <v>190</v>
      </c>
      <c r="Q4" s="42" t="s">
        <v>189</v>
      </c>
      <c r="R4" s="43" t="s">
        <v>187</v>
      </c>
      <c r="S4" s="43" t="s">
        <v>188</v>
      </c>
      <c r="T4" s="50" t="s">
        <v>192</v>
      </c>
      <c r="U4" s="55" t="s">
        <v>197</v>
      </c>
      <c r="V4" s="44" t="s">
        <v>190</v>
      </c>
      <c r="W4" s="42" t="s">
        <v>189</v>
      </c>
      <c r="X4" s="43" t="s">
        <v>187</v>
      </c>
      <c r="Y4" s="43" t="s">
        <v>188</v>
      </c>
      <c r="Z4" s="50" t="s">
        <v>192</v>
      </c>
      <c r="AA4" s="55" t="s">
        <v>197</v>
      </c>
      <c r="AB4" s="44" t="s">
        <v>190</v>
      </c>
      <c r="AC4" s="42" t="s">
        <v>189</v>
      </c>
      <c r="AD4" s="43" t="s">
        <v>187</v>
      </c>
      <c r="AE4" s="43" t="s">
        <v>188</v>
      </c>
      <c r="AF4" s="50" t="s">
        <v>192</v>
      </c>
      <c r="AG4" s="58" t="s">
        <v>197</v>
      </c>
      <c r="AH4" s="143" t="s">
        <v>194</v>
      </c>
      <c r="AI4" s="95" t="s">
        <v>194</v>
      </c>
      <c r="AJ4" s="93" t="s">
        <v>199</v>
      </c>
      <c r="AK4" s="95" t="s">
        <v>202</v>
      </c>
      <c r="AL4" s="93" t="s">
        <v>210</v>
      </c>
      <c r="AM4" s="95" t="s">
        <v>212</v>
      </c>
      <c r="AN4" s="5" t="s">
        <v>230</v>
      </c>
      <c r="AO4" s="75">
        <v>1.1000000000000001</v>
      </c>
      <c r="AP4" s="76" t="s">
        <v>200</v>
      </c>
      <c r="AQ4" s="77">
        <v>1.05</v>
      </c>
      <c r="AR4" s="76" t="s">
        <v>200</v>
      </c>
      <c r="AS4" s="78">
        <v>1</v>
      </c>
      <c r="AT4" s="76" t="s">
        <v>200</v>
      </c>
      <c r="AU4" s="77">
        <v>0.98</v>
      </c>
      <c r="AV4" s="76" t="s">
        <v>200</v>
      </c>
      <c r="AW4" s="77">
        <v>0.95</v>
      </c>
      <c r="AX4" s="76" t="s">
        <v>200</v>
      </c>
      <c r="AY4" s="77">
        <v>0.9</v>
      </c>
      <c r="AZ4" s="76" t="s">
        <v>200</v>
      </c>
      <c r="BA4" s="77">
        <v>0.88</v>
      </c>
      <c r="BB4" s="76" t="s">
        <v>200</v>
      </c>
      <c r="BC4" s="77">
        <v>0.85</v>
      </c>
      <c r="BD4" s="76" t="s">
        <v>200</v>
      </c>
      <c r="BE4" s="77">
        <v>0.8</v>
      </c>
      <c r="BF4" s="76" t="s">
        <v>200</v>
      </c>
      <c r="BG4" s="77">
        <v>0.7</v>
      </c>
      <c r="BH4" s="76" t="s">
        <v>200</v>
      </c>
      <c r="BI4" s="77">
        <v>0.6</v>
      </c>
      <c r="BJ4" s="76" t="s">
        <v>200</v>
      </c>
      <c r="BK4" s="77">
        <v>0.5</v>
      </c>
      <c r="BL4" s="76" t="s">
        <v>200</v>
      </c>
    </row>
    <row r="5" spans="2:64" x14ac:dyDescent="0.2">
      <c r="B5" s="61">
        <v>1</v>
      </c>
      <c r="C5" s="100" t="s">
        <v>176</v>
      </c>
      <c r="D5" s="45"/>
      <c r="E5" s="41"/>
      <c r="F5" s="41">
        <f>2.55</f>
        <v>2.5499999999999998</v>
      </c>
      <c r="G5" s="41"/>
      <c r="H5" s="51">
        <f>SUM(D5:G5)</f>
        <v>2.5499999999999998</v>
      </c>
      <c r="I5" s="59">
        <f>2.27</f>
        <v>2.27</v>
      </c>
      <c r="J5" s="45"/>
      <c r="K5" s="41"/>
      <c r="L5" s="41">
        <f>2.55</f>
        <v>2.5499999999999998</v>
      </c>
      <c r="M5" s="41">
        <f>2.95</f>
        <v>2.95</v>
      </c>
      <c r="N5" s="51">
        <f>SUM(J5:M5)</f>
        <v>5.5</v>
      </c>
      <c r="O5" s="56">
        <f>1.79+2.78</f>
        <v>4.57</v>
      </c>
      <c r="P5" s="45"/>
      <c r="Q5" s="41">
        <f>2.55</f>
        <v>2.5499999999999998</v>
      </c>
      <c r="R5" s="41"/>
      <c r="S5" s="41">
        <f>2.95</f>
        <v>2.95</v>
      </c>
      <c r="T5" s="51">
        <f>SUM(P5:S5)</f>
        <v>5.5</v>
      </c>
      <c r="U5" s="56">
        <f>1.67+1.88</f>
        <v>3.55</v>
      </c>
      <c r="V5" s="45"/>
      <c r="W5" s="41">
        <f>2.55</f>
        <v>2.5499999999999998</v>
      </c>
      <c r="X5" s="41"/>
      <c r="Y5" s="41">
        <f>2.95</f>
        <v>2.95</v>
      </c>
      <c r="Z5" s="51">
        <f>SUM(V5:Y5)</f>
        <v>5.5</v>
      </c>
      <c r="AA5" s="56">
        <f>1.58+1.58</f>
        <v>3.16</v>
      </c>
      <c r="AB5" s="45"/>
      <c r="AC5" s="41"/>
      <c r="AD5" s="41">
        <f>2.5</f>
        <v>2.5</v>
      </c>
      <c r="AE5" s="41">
        <f>2.65</f>
        <v>2.65</v>
      </c>
      <c r="AF5" s="51">
        <f>SUM(AB5:AE5)</f>
        <v>5.15</v>
      </c>
      <c r="AG5" s="59">
        <f>1.31+1.47</f>
        <v>2.7800000000000002</v>
      </c>
      <c r="AH5" s="144">
        <f>AVERAGE(H5,N5,T5,Z5,AF5)</f>
        <v>4.8400000000000007</v>
      </c>
      <c r="AI5" s="145">
        <f>AVERAGE(I5,O5,U5,AA5,AG5)</f>
        <v>3.2660000000000005</v>
      </c>
      <c r="AJ5" s="91"/>
      <c r="AK5" s="96"/>
      <c r="AL5" s="98">
        <f t="shared" ref="AL5:AL40" si="0">(H5/$AL$2)*100</f>
        <v>34</v>
      </c>
      <c r="AM5" s="99">
        <f t="shared" ref="AM5:AM40" si="1">(H5/$AM$2)*100</f>
        <v>30</v>
      </c>
      <c r="AN5" s="110">
        <f>91.5</f>
        <v>91.5</v>
      </c>
      <c r="AO5" s="71">
        <f t="shared" ref="AO5:AO34" si="2">AN5*$AO$4</f>
        <v>100.65</v>
      </c>
      <c r="AP5" s="72">
        <f>(AH5/AO5)*100</f>
        <v>4.8087431693989071</v>
      </c>
      <c r="AQ5" s="73">
        <f>AN5*$AQ$4</f>
        <v>96.075000000000003</v>
      </c>
      <c r="AR5" s="74">
        <f>(AH5/AQ5)*100</f>
        <v>5.0377309393702845</v>
      </c>
      <c r="AS5" s="73">
        <f>AN5*$AS$4</f>
        <v>91.5</v>
      </c>
      <c r="AT5" s="74">
        <f>(AH5/AS5)*100</f>
        <v>5.2896174863387984</v>
      </c>
      <c r="AU5" s="73">
        <f>AN5*$AU$4</f>
        <v>89.67</v>
      </c>
      <c r="AV5" s="74">
        <f>(AH5/AU5)*100</f>
        <v>5.3975688636110188</v>
      </c>
      <c r="AW5" s="73">
        <f>AN5*$AW$4</f>
        <v>86.924999999999997</v>
      </c>
      <c r="AX5" s="74">
        <f>(AH5/AW5)*100</f>
        <v>5.5680184066724197</v>
      </c>
      <c r="AY5" s="73">
        <f>AN5*$AY$4</f>
        <v>82.350000000000009</v>
      </c>
      <c r="AZ5" s="74">
        <f>(AH5/AY5)*100</f>
        <v>5.8773527625986643</v>
      </c>
      <c r="BA5" s="73">
        <f>AN5*$BA$4</f>
        <v>80.52</v>
      </c>
      <c r="BB5" s="74">
        <f>(AH5/BA5)*100</f>
        <v>6.0109289617486352</v>
      </c>
      <c r="BC5" s="73">
        <f>AN5*$BC$4</f>
        <v>77.774999999999991</v>
      </c>
      <c r="BD5" s="74">
        <f>(AH5/BC5)*100</f>
        <v>6.2230793956927055</v>
      </c>
      <c r="BE5" s="73">
        <f>AN5*$BE$4</f>
        <v>73.2</v>
      </c>
      <c r="BF5" s="74">
        <f>(AH5/BE5)*100</f>
        <v>6.6120218579234971</v>
      </c>
      <c r="BG5" s="73">
        <f>AN5*$BG$4</f>
        <v>64.05</v>
      </c>
      <c r="BH5" s="74">
        <f>(AH5/BG5)*100</f>
        <v>7.5565964090554267</v>
      </c>
      <c r="BI5" s="73">
        <f>AN5*$BI$4</f>
        <v>54.9</v>
      </c>
      <c r="BJ5" s="74">
        <f>(AH5/BI5)*100</f>
        <v>8.8160291438979979</v>
      </c>
      <c r="BK5" s="73">
        <f>AN5*$BK$4</f>
        <v>45.75</v>
      </c>
      <c r="BL5" s="74">
        <f>(AH5/BK5)*100</f>
        <v>10.579234972677597</v>
      </c>
    </row>
    <row r="6" spans="2:64" x14ac:dyDescent="0.2">
      <c r="B6" s="61">
        <v>2</v>
      </c>
      <c r="C6" s="100" t="s">
        <v>177</v>
      </c>
      <c r="D6" s="45"/>
      <c r="E6" s="41">
        <f>0.35</f>
        <v>0.35</v>
      </c>
      <c r="F6" s="41"/>
      <c r="G6" s="41">
        <f>0.75</f>
        <v>0.75</v>
      </c>
      <c r="H6" s="51">
        <f t="shared" ref="H6:H34" si="3">SUM(D6:G6)</f>
        <v>1.1000000000000001</v>
      </c>
      <c r="I6" s="59">
        <f>2.13+3.81</f>
        <v>5.9399999999999995</v>
      </c>
      <c r="J6" s="45"/>
      <c r="K6" s="41">
        <f>0.25</f>
        <v>0.25</v>
      </c>
      <c r="L6" s="41"/>
      <c r="M6" s="41">
        <f>0.55</f>
        <v>0.55000000000000004</v>
      </c>
      <c r="N6" s="51">
        <f t="shared" ref="N6:N34" si="4">SUM(J6:M6)</f>
        <v>0.8</v>
      </c>
      <c r="O6" s="56">
        <f>1.17+3.48</f>
        <v>4.6500000000000004</v>
      </c>
      <c r="P6" s="45"/>
      <c r="Q6" s="41">
        <f>0.25</f>
        <v>0.25</v>
      </c>
      <c r="R6" s="41"/>
      <c r="S6" s="41">
        <f>0.4</f>
        <v>0.4</v>
      </c>
      <c r="T6" s="51">
        <f t="shared" ref="T6:T34" si="5">SUM(P6:S6)</f>
        <v>0.65</v>
      </c>
      <c r="U6" s="56">
        <f>1.05+1.79</f>
        <v>2.84</v>
      </c>
      <c r="V6" s="45"/>
      <c r="W6" s="41">
        <f>0.2</f>
        <v>0.2</v>
      </c>
      <c r="X6" s="41"/>
      <c r="Y6" s="41">
        <f>0.4</f>
        <v>0.4</v>
      </c>
      <c r="Z6" s="51">
        <f t="shared" ref="Z6:Z34" si="6">SUM(V6:Y6)</f>
        <v>0.60000000000000009</v>
      </c>
      <c r="AA6" s="56">
        <f>1+1.78</f>
        <v>2.7800000000000002</v>
      </c>
      <c r="AB6" s="45"/>
      <c r="AC6" s="41">
        <f>0.1</f>
        <v>0.1</v>
      </c>
      <c r="AD6" s="41"/>
      <c r="AE6" s="41">
        <f>0.3</f>
        <v>0.3</v>
      </c>
      <c r="AF6" s="51">
        <f t="shared" ref="AF6:AF34" si="7">SUM(AB6:AE6)</f>
        <v>0.4</v>
      </c>
      <c r="AG6" s="59">
        <f>0.54+1.37</f>
        <v>1.9100000000000001</v>
      </c>
      <c r="AH6" s="146">
        <f t="shared" ref="AH6:AH34" si="8">AVERAGE(H6,N6,T6,Z6,AF6)</f>
        <v>0.71000000000000008</v>
      </c>
      <c r="AI6" s="147">
        <f t="shared" ref="AI6:AI34" si="9">AVERAGE(I6,O6,U6,AA6,AG6)</f>
        <v>3.6240000000000001</v>
      </c>
      <c r="AJ6" s="91"/>
      <c r="AK6" s="96"/>
      <c r="AL6" s="91">
        <f t="shared" si="0"/>
        <v>14.666666666666666</v>
      </c>
      <c r="AM6" s="96">
        <f t="shared" si="1"/>
        <v>12.941176470588237</v>
      </c>
      <c r="AN6" s="110">
        <f>20.5</f>
        <v>20.5</v>
      </c>
      <c r="AO6" s="67">
        <f t="shared" si="2"/>
        <v>22.55</v>
      </c>
      <c r="AP6" s="62">
        <f t="shared" ref="AP6:AP34" si="10">(AH6/AO6)*100</f>
        <v>3.1485587583148558</v>
      </c>
      <c r="AQ6" s="69">
        <f t="shared" ref="AQ6:AQ34" si="11">AN6*$AQ$4</f>
        <v>21.525000000000002</v>
      </c>
      <c r="AR6" s="64">
        <f t="shared" ref="AR6:AR34" si="12">(AH6/AQ6)*100</f>
        <v>3.2984901277584204</v>
      </c>
      <c r="AS6" s="69">
        <f t="shared" ref="AS6:AS34" si="13">AN6*$AS$4</f>
        <v>20.5</v>
      </c>
      <c r="AT6" s="64">
        <f t="shared" ref="AT6:AT34" si="14">(AH6/AS6)*100</f>
        <v>3.4634146341463419</v>
      </c>
      <c r="AU6" s="69">
        <f t="shared" ref="AU6:AU34" si="15">AN6*$AU$4</f>
        <v>20.09</v>
      </c>
      <c r="AV6" s="64">
        <f t="shared" ref="AV6:AV34" si="16">(AH6/AU6)*100</f>
        <v>3.5340965654554508</v>
      </c>
      <c r="AW6" s="69">
        <f t="shared" ref="AW6:AW34" si="17">AN6*$AW$4</f>
        <v>19.474999999999998</v>
      </c>
      <c r="AX6" s="64">
        <f t="shared" ref="AX6:AX34" si="18">(AH6/AW6)*100</f>
        <v>3.6456996148908862</v>
      </c>
      <c r="AY6" s="69">
        <f t="shared" ref="AY6:AY34" si="19">AN6*$AY$4</f>
        <v>18.45</v>
      </c>
      <c r="AZ6" s="64">
        <f t="shared" ref="AZ6:AZ34" si="20">(AH6/AY6)*100</f>
        <v>3.8482384823848239</v>
      </c>
      <c r="BA6" s="69">
        <f t="shared" ref="BA6:BA34" si="21">AN6*$BA$4</f>
        <v>18.04</v>
      </c>
      <c r="BB6" s="64">
        <f t="shared" ref="BB6:BB34" si="22">(AH6/BA6)*100</f>
        <v>3.9356984478935702</v>
      </c>
      <c r="BC6" s="69">
        <f t="shared" ref="BC6:BC34" si="23">AN6*$BC$4</f>
        <v>17.425000000000001</v>
      </c>
      <c r="BD6" s="64">
        <f t="shared" ref="BD6:BD34" si="24">(AH6/BC6)*100</f>
        <v>4.0746054519368728</v>
      </c>
      <c r="BE6" s="69">
        <f t="shared" ref="BE6:BE34" si="25">AN6*$BE$4</f>
        <v>16.400000000000002</v>
      </c>
      <c r="BF6" s="64">
        <f t="shared" ref="BF6:BF34" si="26">(AH6/BE6)*100</f>
        <v>4.3292682926829267</v>
      </c>
      <c r="BG6" s="69">
        <f t="shared" ref="BG6:BG34" si="27">AN6*$BG$4</f>
        <v>14.35</v>
      </c>
      <c r="BH6" s="64">
        <f t="shared" ref="BH6:BH34" si="28">(AH6/BG6)*100</f>
        <v>4.9477351916376309</v>
      </c>
      <c r="BI6" s="69">
        <f t="shared" ref="BI6:BI34" si="29">AN6*$BI$4</f>
        <v>12.299999999999999</v>
      </c>
      <c r="BJ6" s="64">
        <f t="shared" ref="BJ6:BJ34" si="30">(AH6/BI6)*100</f>
        <v>5.7723577235772368</v>
      </c>
      <c r="BK6" s="69">
        <f t="shared" ref="BK6:BK34" si="31">AN6*$BK$4</f>
        <v>10.25</v>
      </c>
      <c r="BL6" s="64">
        <f t="shared" ref="BL6:BL34" si="32">(AH6/BK6)*100</f>
        <v>6.9268292682926838</v>
      </c>
    </row>
    <row r="7" spans="2:64" x14ac:dyDescent="0.2">
      <c r="B7" s="61">
        <v>3</v>
      </c>
      <c r="C7" s="103" t="s">
        <v>2</v>
      </c>
      <c r="D7" s="45"/>
      <c r="E7" s="41"/>
      <c r="F7" s="41"/>
      <c r="G7" s="41">
        <f>0.52</f>
        <v>0.52</v>
      </c>
      <c r="H7" s="51">
        <f t="shared" si="3"/>
        <v>0.52</v>
      </c>
      <c r="I7" s="59">
        <f>6.5</f>
        <v>6.5</v>
      </c>
      <c r="J7" s="45"/>
      <c r="K7" s="41"/>
      <c r="L7" s="41"/>
      <c r="M7" s="41">
        <f>0.6</f>
        <v>0.6</v>
      </c>
      <c r="N7" s="51">
        <f t="shared" si="4"/>
        <v>0.6</v>
      </c>
      <c r="O7" s="56">
        <f>8.28</f>
        <v>8.2799999999999994</v>
      </c>
      <c r="P7" s="45"/>
      <c r="Q7" s="41"/>
      <c r="R7" s="41"/>
      <c r="S7" s="41">
        <f>0.7</f>
        <v>0.7</v>
      </c>
      <c r="T7" s="51">
        <f t="shared" si="5"/>
        <v>0.7</v>
      </c>
      <c r="U7" s="56">
        <f>7.11</f>
        <v>7.11</v>
      </c>
      <c r="V7" s="45"/>
      <c r="W7" s="41"/>
      <c r="X7" s="41"/>
      <c r="Y7" s="41">
        <f>0.65</f>
        <v>0.65</v>
      </c>
      <c r="Z7" s="51">
        <f t="shared" si="6"/>
        <v>0.65</v>
      </c>
      <c r="AA7" s="56">
        <f>5.33</f>
        <v>5.33</v>
      </c>
      <c r="AB7" s="45"/>
      <c r="AC7" s="41"/>
      <c r="AD7" s="41"/>
      <c r="AE7" s="41">
        <f>0.5</f>
        <v>0.5</v>
      </c>
      <c r="AF7" s="51">
        <f t="shared" si="7"/>
        <v>0.5</v>
      </c>
      <c r="AG7" s="59">
        <f>4.72</f>
        <v>4.72</v>
      </c>
      <c r="AH7" s="146">
        <f t="shared" si="8"/>
        <v>0.59400000000000008</v>
      </c>
      <c r="AI7" s="147">
        <f t="shared" si="9"/>
        <v>6.3879999999999999</v>
      </c>
      <c r="AJ7" s="91">
        <v>7.79</v>
      </c>
      <c r="AK7" s="96">
        <f>(H7/AJ7)*100</f>
        <v>6.6752246469833114</v>
      </c>
      <c r="AL7" s="104">
        <f>(H7/$AL$2)*100</f>
        <v>6.9333333333333327</v>
      </c>
      <c r="AM7" s="96">
        <f>(H7/$AM$2)*100</f>
        <v>6.1176470588235299</v>
      </c>
      <c r="AN7" s="110">
        <f>7.5</f>
        <v>7.5</v>
      </c>
      <c r="AO7" s="67">
        <f t="shared" si="2"/>
        <v>8.25</v>
      </c>
      <c r="AP7" s="62">
        <f t="shared" si="10"/>
        <v>7.2000000000000011</v>
      </c>
      <c r="AQ7" s="69">
        <f t="shared" si="11"/>
        <v>7.875</v>
      </c>
      <c r="AR7" s="64">
        <f>(AH7/AQ7)*100</f>
        <v>7.5428571428571445</v>
      </c>
      <c r="AS7" s="69">
        <f>AN7*$AS$4</f>
        <v>7.5</v>
      </c>
      <c r="AT7" s="64">
        <f>(AH7/AS7)*100</f>
        <v>7.9200000000000008</v>
      </c>
      <c r="AU7" s="69">
        <f t="shared" si="15"/>
        <v>7.35</v>
      </c>
      <c r="AV7" s="64">
        <f t="shared" si="16"/>
        <v>8.0816326530612255</v>
      </c>
      <c r="AW7" s="134">
        <f t="shared" si="17"/>
        <v>7.125</v>
      </c>
      <c r="AX7" s="64">
        <f t="shared" si="18"/>
        <v>8.3368421052631589</v>
      </c>
      <c r="AY7" s="69">
        <f t="shared" si="19"/>
        <v>6.75</v>
      </c>
      <c r="AZ7" s="64">
        <f t="shared" si="20"/>
        <v>8.8000000000000007</v>
      </c>
      <c r="BA7" s="69">
        <f t="shared" si="21"/>
        <v>6.6</v>
      </c>
      <c r="BB7" s="64">
        <f t="shared" si="22"/>
        <v>9.0000000000000018</v>
      </c>
      <c r="BC7" s="69">
        <f t="shared" si="23"/>
        <v>6.375</v>
      </c>
      <c r="BD7" s="64">
        <f t="shared" si="24"/>
        <v>9.3176470588235301</v>
      </c>
      <c r="BE7" s="69">
        <f t="shared" si="25"/>
        <v>6</v>
      </c>
      <c r="BF7" s="64">
        <f t="shared" si="26"/>
        <v>9.9000000000000021</v>
      </c>
      <c r="BG7" s="69">
        <f t="shared" si="27"/>
        <v>5.25</v>
      </c>
      <c r="BH7" s="64">
        <f t="shared" si="28"/>
        <v>11.314285714285715</v>
      </c>
      <c r="BI7" s="69">
        <f t="shared" si="29"/>
        <v>4.5</v>
      </c>
      <c r="BJ7" s="64">
        <f t="shared" si="30"/>
        <v>13.200000000000001</v>
      </c>
      <c r="BK7" s="69">
        <f t="shared" si="31"/>
        <v>3.75</v>
      </c>
      <c r="BL7" s="64">
        <f t="shared" si="32"/>
        <v>15.840000000000002</v>
      </c>
    </row>
    <row r="8" spans="2:64" x14ac:dyDescent="0.2">
      <c r="B8" s="61">
        <v>4</v>
      </c>
      <c r="C8" s="101" t="s">
        <v>3</v>
      </c>
      <c r="D8" s="45"/>
      <c r="E8" s="41"/>
      <c r="F8" s="41"/>
      <c r="G8" s="41">
        <f>0.5</f>
        <v>0.5</v>
      </c>
      <c r="H8" s="51">
        <f t="shared" si="3"/>
        <v>0.5</v>
      </c>
      <c r="I8" s="59">
        <f>7.35</f>
        <v>7.35</v>
      </c>
      <c r="J8" s="45"/>
      <c r="K8" s="41"/>
      <c r="L8" s="41"/>
      <c r="M8" s="41">
        <f>0.35</f>
        <v>0.35</v>
      </c>
      <c r="N8" s="51">
        <f t="shared" si="4"/>
        <v>0.35</v>
      </c>
      <c r="O8" s="56">
        <f>5.6</f>
        <v>5.6</v>
      </c>
      <c r="P8" s="45"/>
      <c r="Q8" s="41"/>
      <c r="R8" s="41"/>
      <c r="S8" s="41">
        <f>0.38</f>
        <v>0.38</v>
      </c>
      <c r="T8" s="51">
        <f t="shared" si="5"/>
        <v>0.38</v>
      </c>
      <c r="U8" s="56">
        <f>3.86</f>
        <v>3.86</v>
      </c>
      <c r="V8" s="45"/>
      <c r="W8" s="41"/>
      <c r="X8" s="41"/>
      <c r="Y8" s="41">
        <f>0.55</f>
        <v>0.55000000000000004</v>
      </c>
      <c r="Z8" s="51">
        <f t="shared" si="6"/>
        <v>0.55000000000000004</v>
      </c>
      <c r="AA8" s="56">
        <f>4.51</f>
        <v>4.51</v>
      </c>
      <c r="AB8" s="45"/>
      <c r="AC8" s="41"/>
      <c r="AD8" s="41"/>
      <c r="AE8" s="41">
        <f>0.55</f>
        <v>0.55000000000000004</v>
      </c>
      <c r="AF8" s="51">
        <f t="shared" si="7"/>
        <v>0.55000000000000004</v>
      </c>
      <c r="AG8" s="59">
        <f>2.86</f>
        <v>2.86</v>
      </c>
      <c r="AH8" s="146">
        <f t="shared" si="8"/>
        <v>0.46600000000000003</v>
      </c>
      <c r="AI8" s="147">
        <f t="shared" si="9"/>
        <v>4.8360000000000003</v>
      </c>
      <c r="AJ8" s="91"/>
      <c r="AK8" s="96"/>
      <c r="AL8" s="91">
        <f t="shared" si="0"/>
        <v>6.666666666666667</v>
      </c>
      <c r="AM8" s="96">
        <f t="shared" si="1"/>
        <v>5.8823529411764701</v>
      </c>
      <c r="AN8" s="110">
        <v>6.6</v>
      </c>
      <c r="AO8" s="67">
        <f t="shared" si="2"/>
        <v>7.26</v>
      </c>
      <c r="AP8" s="62">
        <f t="shared" si="10"/>
        <v>6.4187327823691467</v>
      </c>
      <c r="AQ8" s="69">
        <f t="shared" si="11"/>
        <v>6.93</v>
      </c>
      <c r="AR8" s="64">
        <f t="shared" si="12"/>
        <v>6.7243867243867248</v>
      </c>
      <c r="AS8" s="69">
        <f t="shared" si="13"/>
        <v>6.6</v>
      </c>
      <c r="AT8" s="64">
        <f t="shared" si="14"/>
        <v>7.0606060606060614</v>
      </c>
      <c r="AU8" s="69">
        <f t="shared" si="15"/>
        <v>6.468</v>
      </c>
      <c r="AV8" s="64">
        <f t="shared" si="16"/>
        <v>7.20470006184292</v>
      </c>
      <c r="AW8" s="69">
        <f t="shared" si="17"/>
        <v>6.27</v>
      </c>
      <c r="AX8" s="64">
        <f t="shared" si="18"/>
        <v>7.4322169059011181</v>
      </c>
      <c r="AY8" s="69">
        <f t="shared" si="19"/>
        <v>5.9399999999999995</v>
      </c>
      <c r="AZ8" s="64">
        <f t="shared" si="20"/>
        <v>7.8451178451178469</v>
      </c>
      <c r="BA8" s="69">
        <f t="shared" si="21"/>
        <v>5.8079999999999998</v>
      </c>
      <c r="BB8" s="64">
        <f t="shared" si="22"/>
        <v>8.0234159779614327</v>
      </c>
      <c r="BC8" s="69">
        <f t="shared" si="23"/>
        <v>5.6099999999999994</v>
      </c>
      <c r="BD8" s="64">
        <f t="shared" si="24"/>
        <v>8.3065953654188966</v>
      </c>
      <c r="BE8" s="69">
        <f t="shared" si="25"/>
        <v>5.28</v>
      </c>
      <c r="BF8" s="64">
        <f t="shared" si="26"/>
        <v>8.8257575757575761</v>
      </c>
      <c r="BG8" s="69">
        <f t="shared" si="27"/>
        <v>4.6199999999999992</v>
      </c>
      <c r="BH8" s="64">
        <f t="shared" si="28"/>
        <v>10.08658008658009</v>
      </c>
      <c r="BI8" s="69">
        <f t="shared" si="29"/>
        <v>3.9599999999999995</v>
      </c>
      <c r="BJ8" s="64">
        <f t="shared" si="30"/>
        <v>11.76767676767677</v>
      </c>
      <c r="BK8" s="69">
        <f t="shared" si="31"/>
        <v>3.3</v>
      </c>
      <c r="BL8" s="64">
        <f t="shared" si="32"/>
        <v>14.121212121212123</v>
      </c>
    </row>
    <row r="9" spans="2:64" x14ac:dyDescent="0.2">
      <c r="B9" s="61">
        <v>5</v>
      </c>
      <c r="C9" s="100" t="s">
        <v>114</v>
      </c>
      <c r="D9" s="45"/>
      <c r="E9" s="41">
        <f>2</f>
        <v>2</v>
      </c>
      <c r="F9" s="41"/>
      <c r="G9" s="41">
        <f>8</f>
        <v>8</v>
      </c>
      <c r="H9" s="51">
        <f t="shared" si="3"/>
        <v>10</v>
      </c>
      <c r="I9" s="59">
        <f>1.33+4.91</f>
        <v>6.24</v>
      </c>
      <c r="J9" s="45"/>
      <c r="K9" s="41">
        <f>2</f>
        <v>2</v>
      </c>
      <c r="L9" s="41"/>
      <c r="M9" s="41">
        <f>6.5</f>
        <v>6.5</v>
      </c>
      <c r="N9" s="51">
        <f t="shared" si="4"/>
        <v>8.5</v>
      </c>
      <c r="O9" s="56">
        <f>1.43+4.78</f>
        <v>6.21</v>
      </c>
      <c r="P9" s="45"/>
      <c r="Q9" s="41">
        <f>2</f>
        <v>2</v>
      </c>
      <c r="R9" s="41"/>
      <c r="S9" s="41">
        <f>5</f>
        <v>5</v>
      </c>
      <c r="T9" s="51">
        <f t="shared" si="5"/>
        <v>7</v>
      </c>
      <c r="U9" s="56">
        <f>1.19+3.62</f>
        <v>4.8100000000000005</v>
      </c>
      <c r="V9" s="45"/>
      <c r="W9" s="41">
        <f>1.5</f>
        <v>1.5</v>
      </c>
      <c r="X9" s="41"/>
      <c r="Y9" s="41">
        <f>3</f>
        <v>3</v>
      </c>
      <c r="Z9" s="51">
        <f t="shared" si="6"/>
        <v>4.5</v>
      </c>
      <c r="AA9" s="56">
        <f>1.12+1.88</f>
        <v>3</v>
      </c>
      <c r="AB9" s="45"/>
      <c r="AC9" s="41">
        <f>1</f>
        <v>1</v>
      </c>
      <c r="AD9" s="41"/>
      <c r="AE9" s="41">
        <f>2.5</f>
        <v>2.5</v>
      </c>
      <c r="AF9" s="51">
        <f t="shared" si="7"/>
        <v>3.5</v>
      </c>
      <c r="AG9" s="59">
        <f>0.89+1.85</f>
        <v>2.74</v>
      </c>
      <c r="AH9" s="146">
        <f t="shared" si="8"/>
        <v>6.7</v>
      </c>
      <c r="AI9" s="147">
        <f t="shared" si="9"/>
        <v>4.5999999999999996</v>
      </c>
      <c r="AJ9" s="91"/>
      <c r="AK9" s="96"/>
      <c r="AL9" s="91">
        <f t="shared" si="0"/>
        <v>133.33333333333331</v>
      </c>
      <c r="AM9" s="96">
        <f t="shared" si="1"/>
        <v>117.64705882352942</v>
      </c>
      <c r="AN9" s="110">
        <v>164.5</v>
      </c>
      <c r="AO9" s="67">
        <f t="shared" si="2"/>
        <v>180.95000000000002</v>
      </c>
      <c r="AP9" s="62">
        <f t="shared" si="10"/>
        <v>3.7026802984249789</v>
      </c>
      <c r="AQ9" s="69">
        <f t="shared" si="11"/>
        <v>172.72499999999999</v>
      </c>
      <c r="AR9" s="64">
        <f t="shared" si="12"/>
        <v>3.8789984078737882</v>
      </c>
      <c r="AS9" s="69">
        <f t="shared" si="13"/>
        <v>164.5</v>
      </c>
      <c r="AT9" s="64">
        <f t="shared" si="14"/>
        <v>4.0729483282674774</v>
      </c>
      <c r="AU9" s="69">
        <f t="shared" si="15"/>
        <v>161.21</v>
      </c>
      <c r="AV9" s="64">
        <f t="shared" si="16"/>
        <v>4.1560697227219157</v>
      </c>
      <c r="AW9" s="69">
        <f t="shared" si="17"/>
        <v>156.27500000000001</v>
      </c>
      <c r="AX9" s="64">
        <f t="shared" si="18"/>
        <v>4.2873140297552386</v>
      </c>
      <c r="AY9" s="69">
        <f t="shared" si="19"/>
        <v>148.05000000000001</v>
      </c>
      <c r="AZ9" s="64">
        <f t="shared" si="20"/>
        <v>4.5254981425194192</v>
      </c>
      <c r="BA9" s="69">
        <f t="shared" si="21"/>
        <v>144.76</v>
      </c>
      <c r="BB9" s="64">
        <f t="shared" si="22"/>
        <v>4.6283503730312248</v>
      </c>
      <c r="BC9" s="69">
        <f t="shared" si="23"/>
        <v>139.82499999999999</v>
      </c>
      <c r="BD9" s="64">
        <f t="shared" si="24"/>
        <v>4.7917039156087968</v>
      </c>
      <c r="BE9" s="69">
        <f t="shared" si="25"/>
        <v>131.6</v>
      </c>
      <c r="BF9" s="64">
        <f t="shared" si="26"/>
        <v>5.0911854103343464</v>
      </c>
      <c r="BG9" s="69">
        <f t="shared" si="27"/>
        <v>115.14999999999999</v>
      </c>
      <c r="BH9" s="64">
        <f t="shared" si="28"/>
        <v>5.8184976118106819</v>
      </c>
      <c r="BI9" s="69">
        <f t="shared" si="29"/>
        <v>98.7</v>
      </c>
      <c r="BJ9" s="64">
        <f t="shared" si="30"/>
        <v>6.7882472137791288</v>
      </c>
      <c r="BK9" s="69">
        <f t="shared" si="31"/>
        <v>82.25</v>
      </c>
      <c r="BL9" s="64">
        <f t="shared" si="32"/>
        <v>8.1458966565349549</v>
      </c>
    </row>
    <row r="10" spans="2:64" x14ac:dyDescent="0.2">
      <c r="B10" s="61">
        <v>6</v>
      </c>
      <c r="C10" s="100" t="s">
        <v>178</v>
      </c>
      <c r="D10" s="45"/>
      <c r="E10" s="41">
        <f>0.16</f>
        <v>0.16</v>
      </c>
      <c r="F10" s="41"/>
      <c r="G10" s="41">
        <v>0.22</v>
      </c>
      <c r="H10" s="51">
        <f t="shared" si="3"/>
        <v>0.38</v>
      </c>
      <c r="I10" s="59">
        <f>2.09+3.55</f>
        <v>5.64</v>
      </c>
      <c r="J10" s="45"/>
      <c r="K10" s="41">
        <f>0.18</f>
        <v>0.18</v>
      </c>
      <c r="L10" s="41"/>
      <c r="M10" s="41">
        <f>0.25</f>
        <v>0.25</v>
      </c>
      <c r="N10" s="51">
        <f t="shared" si="4"/>
        <v>0.43</v>
      </c>
      <c r="O10" s="56">
        <f>1.67+2.92</f>
        <v>4.59</v>
      </c>
      <c r="P10" s="45"/>
      <c r="Q10" s="41">
        <f>0.18</f>
        <v>0.18</v>
      </c>
      <c r="R10" s="41"/>
      <c r="S10" s="41">
        <f>0.22</f>
        <v>0.22</v>
      </c>
      <c r="T10" s="51">
        <f t="shared" si="5"/>
        <v>0.4</v>
      </c>
      <c r="U10" s="56">
        <f>1.34+2.14</f>
        <v>3.4800000000000004</v>
      </c>
      <c r="V10" s="45"/>
      <c r="W10" s="41">
        <f>0.17</f>
        <v>0.17</v>
      </c>
      <c r="X10" s="41"/>
      <c r="Y10" s="41">
        <f>0.21</f>
        <v>0.21</v>
      </c>
      <c r="Z10" s="51">
        <f t="shared" si="6"/>
        <v>0.38</v>
      </c>
      <c r="AA10" s="56">
        <f>1.2+1.5</f>
        <v>2.7</v>
      </c>
      <c r="AB10" s="45"/>
      <c r="AC10" s="41">
        <f>0.12</f>
        <v>0.12</v>
      </c>
      <c r="AD10" s="41"/>
      <c r="AE10" s="41">
        <f>0.2</f>
        <v>0.2</v>
      </c>
      <c r="AF10" s="51">
        <f t="shared" si="7"/>
        <v>0.32</v>
      </c>
      <c r="AG10" s="59">
        <f>0.85+1.27</f>
        <v>2.12</v>
      </c>
      <c r="AH10" s="146">
        <f t="shared" si="8"/>
        <v>0.38200000000000001</v>
      </c>
      <c r="AI10" s="147">
        <f t="shared" si="9"/>
        <v>3.7060000000000004</v>
      </c>
      <c r="AJ10" s="91"/>
      <c r="AK10" s="96"/>
      <c r="AL10" s="91">
        <f t="shared" si="0"/>
        <v>5.0666666666666664</v>
      </c>
      <c r="AM10" s="96">
        <f t="shared" si="1"/>
        <v>4.4705882352941178</v>
      </c>
      <c r="AN10" s="110">
        <f>6</f>
        <v>6</v>
      </c>
      <c r="AO10" s="67">
        <f t="shared" si="2"/>
        <v>6.6000000000000005</v>
      </c>
      <c r="AP10" s="62">
        <f t="shared" si="10"/>
        <v>5.7878787878787881</v>
      </c>
      <c r="AQ10" s="69">
        <f t="shared" si="11"/>
        <v>6.3000000000000007</v>
      </c>
      <c r="AR10" s="64">
        <f t="shared" si="12"/>
        <v>6.0634920634920633</v>
      </c>
      <c r="AS10" s="69">
        <f t="shared" si="13"/>
        <v>6</v>
      </c>
      <c r="AT10" s="64">
        <f t="shared" si="14"/>
        <v>6.3666666666666663</v>
      </c>
      <c r="AU10" s="69">
        <f t="shared" si="15"/>
        <v>5.88</v>
      </c>
      <c r="AV10" s="64">
        <f t="shared" si="16"/>
        <v>6.4965986394557822</v>
      </c>
      <c r="AW10" s="69">
        <f t="shared" si="17"/>
        <v>5.6999999999999993</v>
      </c>
      <c r="AX10" s="64">
        <f t="shared" si="18"/>
        <v>6.7017543859649127</v>
      </c>
      <c r="AY10" s="69">
        <f t="shared" si="19"/>
        <v>5.4</v>
      </c>
      <c r="AZ10" s="64">
        <f t="shared" si="20"/>
        <v>7.0740740740740744</v>
      </c>
      <c r="BA10" s="69">
        <f t="shared" si="21"/>
        <v>5.28</v>
      </c>
      <c r="BB10" s="64">
        <f t="shared" si="22"/>
        <v>7.2348484848484844</v>
      </c>
      <c r="BC10" s="69">
        <f t="shared" si="23"/>
        <v>5.0999999999999996</v>
      </c>
      <c r="BD10" s="64">
        <f t="shared" si="24"/>
        <v>7.4901960784313726</v>
      </c>
      <c r="BE10" s="69">
        <f t="shared" si="25"/>
        <v>4.8000000000000007</v>
      </c>
      <c r="BF10" s="64">
        <f t="shared" si="26"/>
        <v>7.9583333333333321</v>
      </c>
      <c r="BG10" s="69">
        <f t="shared" si="27"/>
        <v>4.1999999999999993</v>
      </c>
      <c r="BH10" s="64">
        <f t="shared" si="28"/>
        <v>9.0952380952380967</v>
      </c>
      <c r="BI10" s="69">
        <f t="shared" si="29"/>
        <v>3.5999999999999996</v>
      </c>
      <c r="BJ10" s="64">
        <f t="shared" si="30"/>
        <v>10.611111111111112</v>
      </c>
      <c r="BK10" s="69">
        <f t="shared" si="31"/>
        <v>3</v>
      </c>
      <c r="BL10" s="64">
        <f t="shared" si="32"/>
        <v>12.733333333333333</v>
      </c>
    </row>
    <row r="11" spans="2:64" x14ac:dyDescent="0.2">
      <c r="B11" s="107">
        <v>7</v>
      </c>
      <c r="C11" s="101" t="s">
        <v>179</v>
      </c>
      <c r="D11" s="45"/>
      <c r="E11" s="41">
        <f>0.24</f>
        <v>0.24</v>
      </c>
      <c r="F11" s="41"/>
      <c r="G11" s="41">
        <f>0.43</f>
        <v>0.43</v>
      </c>
      <c r="H11" s="51">
        <f t="shared" si="3"/>
        <v>0.66999999999999993</v>
      </c>
      <c r="I11" s="59">
        <f>2.03+4.5</f>
        <v>6.5299999999999994</v>
      </c>
      <c r="J11" s="45"/>
      <c r="K11" s="41">
        <f>0.38</f>
        <v>0.38</v>
      </c>
      <c r="L11" s="41"/>
      <c r="M11" s="41">
        <f>0.28</f>
        <v>0.28000000000000003</v>
      </c>
      <c r="N11" s="51">
        <f t="shared" si="4"/>
        <v>0.66</v>
      </c>
      <c r="O11" s="56">
        <f>2.62+2.2</f>
        <v>4.82</v>
      </c>
      <c r="P11" s="45"/>
      <c r="Q11" s="41">
        <f>0.34</f>
        <v>0.34</v>
      </c>
      <c r="R11" s="41"/>
      <c r="S11" s="41">
        <f>0.49</f>
        <v>0.49</v>
      </c>
      <c r="T11" s="51">
        <f t="shared" si="5"/>
        <v>0.83000000000000007</v>
      </c>
      <c r="U11" s="56">
        <f>0.75+2.28</f>
        <v>3.03</v>
      </c>
      <c r="V11" s="45"/>
      <c r="W11" s="41">
        <f>0.49</f>
        <v>0.49</v>
      </c>
      <c r="X11" s="41"/>
      <c r="Y11" s="41">
        <f>0.59</f>
        <v>0.59</v>
      </c>
      <c r="Z11" s="51">
        <f t="shared" si="6"/>
        <v>1.08</v>
      </c>
      <c r="AA11" s="56">
        <f>0.66+1.35</f>
        <v>2.0100000000000002</v>
      </c>
      <c r="AB11" s="45"/>
      <c r="AC11" s="41">
        <f>0.4</f>
        <v>0.4</v>
      </c>
      <c r="AD11" s="41"/>
      <c r="AE11" s="41">
        <f>0.42</f>
        <v>0.42</v>
      </c>
      <c r="AF11" s="51">
        <f t="shared" si="7"/>
        <v>0.82000000000000006</v>
      </c>
      <c r="AG11" s="59">
        <f>0.96+0.51</f>
        <v>1.47</v>
      </c>
      <c r="AH11" s="146">
        <f t="shared" si="8"/>
        <v>0.81200000000000006</v>
      </c>
      <c r="AI11" s="147">
        <f>AVERAGE(I11,O11,U11,AA11,AG11)</f>
        <v>3.5720000000000001</v>
      </c>
      <c r="AJ11" s="91"/>
      <c r="AK11" s="96"/>
      <c r="AL11" s="91">
        <f t="shared" si="0"/>
        <v>8.9333333333333318</v>
      </c>
      <c r="AM11" s="96">
        <f t="shared" si="1"/>
        <v>7.8823529411764692</v>
      </c>
      <c r="AN11" s="110">
        <f>9.5</f>
        <v>9.5</v>
      </c>
      <c r="AO11" s="67">
        <f t="shared" si="2"/>
        <v>10.450000000000001</v>
      </c>
      <c r="AP11" s="62">
        <f>(AH11/AO11)*100</f>
        <v>7.7703349282296648</v>
      </c>
      <c r="AQ11" s="69">
        <f t="shared" si="11"/>
        <v>9.9749999999999996</v>
      </c>
      <c r="AR11" s="64">
        <f t="shared" si="12"/>
        <v>8.1403508771929847</v>
      </c>
      <c r="AS11" s="69">
        <f t="shared" si="13"/>
        <v>9.5</v>
      </c>
      <c r="AT11" s="64">
        <f t="shared" si="14"/>
        <v>8.5473684210526333</v>
      </c>
      <c r="AU11" s="69">
        <f t="shared" si="15"/>
        <v>9.31</v>
      </c>
      <c r="AV11" s="64">
        <f t="shared" si="16"/>
        <v>8.7218045112781954</v>
      </c>
      <c r="AW11" s="69">
        <f t="shared" si="17"/>
        <v>9.0250000000000004</v>
      </c>
      <c r="AX11" s="64">
        <f t="shared" si="18"/>
        <v>8.9972299168975081</v>
      </c>
      <c r="AY11" s="69">
        <f t="shared" si="19"/>
        <v>8.5500000000000007</v>
      </c>
      <c r="AZ11" s="64">
        <f t="shared" si="20"/>
        <v>9.4970760233918128</v>
      </c>
      <c r="BA11" s="69">
        <f t="shared" si="21"/>
        <v>8.36</v>
      </c>
      <c r="BB11" s="64">
        <f t="shared" si="22"/>
        <v>9.7129186602870821</v>
      </c>
      <c r="BC11" s="69">
        <f t="shared" si="23"/>
        <v>8.0749999999999993</v>
      </c>
      <c r="BD11" s="64">
        <f t="shared" si="24"/>
        <v>10.055727554179567</v>
      </c>
      <c r="BE11" s="69">
        <f t="shared" si="25"/>
        <v>7.6000000000000005</v>
      </c>
      <c r="BF11" s="64">
        <f t="shared" si="26"/>
        <v>10.684210526315789</v>
      </c>
      <c r="BG11" s="69">
        <f t="shared" si="27"/>
        <v>6.6499999999999995</v>
      </c>
      <c r="BH11" s="64">
        <f t="shared" si="28"/>
        <v>12.210526315789476</v>
      </c>
      <c r="BI11" s="69">
        <f t="shared" si="29"/>
        <v>5.7</v>
      </c>
      <c r="BJ11" s="64">
        <f t="shared" si="30"/>
        <v>14.245614035087719</v>
      </c>
      <c r="BK11" s="69">
        <f t="shared" si="31"/>
        <v>4.75</v>
      </c>
      <c r="BL11" s="64">
        <f t="shared" si="32"/>
        <v>17.094736842105267</v>
      </c>
    </row>
    <row r="12" spans="2:64" x14ac:dyDescent="0.2">
      <c r="B12" s="61">
        <v>8</v>
      </c>
      <c r="C12" s="103" t="s">
        <v>175</v>
      </c>
      <c r="D12" s="45"/>
      <c r="E12" s="41">
        <f>2</f>
        <v>2</v>
      </c>
      <c r="F12" s="41"/>
      <c r="G12" s="41">
        <f>12</f>
        <v>12</v>
      </c>
      <c r="H12" s="51">
        <f t="shared" si="3"/>
        <v>14</v>
      </c>
      <c r="I12" s="59">
        <f>6.54+1.19</f>
        <v>7.73</v>
      </c>
      <c r="J12" s="45"/>
      <c r="K12" s="41">
        <f>1.5</f>
        <v>1.5</v>
      </c>
      <c r="L12" s="41"/>
      <c r="M12" s="41">
        <f>8</f>
        <v>8</v>
      </c>
      <c r="N12" s="51">
        <f t="shared" si="4"/>
        <v>9.5</v>
      </c>
      <c r="O12" s="56">
        <f>5.3+0.96</f>
        <v>6.26</v>
      </c>
      <c r="P12" s="45"/>
      <c r="Q12" s="41">
        <f>0.5</f>
        <v>0.5</v>
      </c>
      <c r="R12" s="41"/>
      <c r="S12" s="41">
        <f>6</f>
        <v>6</v>
      </c>
      <c r="T12" s="51">
        <f t="shared" si="5"/>
        <v>6.5</v>
      </c>
      <c r="U12" s="56">
        <f>4.84+0.39</f>
        <v>5.2299999999999995</v>
      </c>
      <c r="V12" s="45"/>
      <c r="W12" s="41">
        <f>0.5</f>
        <v>0.5</v>
      </c>
      <c r="X12" s="41"/>
      <c r="Y12" s="41">
        <f>3.5</f>
        <v>3.5</v>
      </c>
      <c r="Z12" s="51">
        <f t="shared" si="6"/>
        <v>4</v>
      </c>
      <c r="AA12" s="56">
        <f>2.62+0.34</f>
        <v>2.96</v>
      </c>
      <c r="AB12" s="45"/>
      <c r="AC12" s="41">
        <f>0.5</f>
        <v>0.5</v>
      </c>
      <c r="AD12" s="41"/>
      <c r="AE12" s="41">
        <f>2.75</f>
        <v>2.75</v>
      </c>
      <c r="AF12" s="51">
        <f t="shared" si="7"/>
        <v>3.25</v>
      </c>
      <c r="AG12" s="59">
        <f>0.42+1.81</f>
        <v>2.23</v>
      </c>
      <c r="AH12" s="146">
        <f t="shared" si="8"/>
        <v>7.45</v>
      </c>
      <c r="AI12" s="147">
        <f t="shared" si="9"/>
        <v>4.8819999999999997</v>
      </c>
      <c r="AJ12" s="91">
        <f>84.94</f>
        <v>84.94</v>
      </c>
      <c r="AK12" s="96">
        <f t="shared" ref="AK12:AK40" si="33">(H12/AJ12)*100</f>
        <v>16.482222745467389</v>
      </c>
      <c r="AL12" s="104">
        <f t="shared" si="0"/>
        <v>186.66666666666666</v>
      </c>
      <c r="AM12" s="96">
        <f t="shared" si="1"/>
        <v>164.70588235294116</v>
      </c>
      <c r="AN12" s="110">
        <f>197.5</f>
        <v>197.5</v>
      </c>
      <c r="AO12" s="67">
        <f t="shared" si="2"/>
        <v>217.25000000000003</v>
      </c>
      <c r="AP12" s="62">
        <f t="shared" si="10"/>
        <v>3.4292289988492515</v>
      </c>
      <c r="AQ12" s="69">
        <f t="shared" si="11"/>
        <v>207.375</v>
      </c>
      <c r="AR12" s="64">
        <f t="shared" si="12"/>
        <v>3.5925256178420737</v>
      </c>
      <c r="AS12" s="69">
        <f t="shared" si="13"/>
        <v>197.5</v>
      </c>
      <c r="AT12" s="64">
        <f t="shared" si="14"/>
        <v>3.7721518987341773</v>
      </c>
      <c r="AU12" s="69">
        <f t="shared" si="15"/>
        <v>193.54999999999998</v>
      </c>
      <c r="AV12" s="64">
        <f t="shared" si="16"/>
        <v>3.8491345905450793</v>
      </c>
      <c r="AW12" s="69">
        <f t="shared" si="17"/>
        <v>187.625</v>
      </c>
      <c r="AX12" s="64">
        <f t="shared" si="18"/>
        <v>3.9706862091938708</v>
      </c>
      <c r="AY12" s="69">
        <f t="shared" si="19"/>
        <v>177.75</v>
      </c>
      <c r="AZ12" s="64">
        <f t="shared" si="20"/>
        <v>4.1912798874824198</v>
      </c>
      <c r="BA12" s="69">
        <f t="shared" si="21"/>
        <v>173.8</v>
      </c>
      <c r="BB12" s="64">
        <f t="shared" si="22"/>
        <v>4.286536248561565</v>
      </c>
      <c r="BC12" s="69">
        <f t="shared" si="23"/>
        <v>167.875</v>
      </c>
      <c r="BD12" s="64">
        <f t="shared" si="24"/>
        <v>4.4378257632166784</v>
      </c>
      <c r="BE12" s="69">
        <f t="shared" si="25"/>
        <v>158</v>
      </c>
      <c r="BF12" s="64">
        <f t="shared" si="26"/>
        <v>4.7151898734177218</v>
      </c>
      <c r="BG12" s="69">
        <f t="shared" si="27"/>
        <v>138.25</v>
      </c>
      <c r="BH12" s="64">
        <f t="shared" si="28"/>
        <v>5.3887884267631101</v>
      </c>
      <c r="BI12" s="69">
        <f t="shared" si="29"/>
        <v>118.5</v>
      </c>
      <c r="BJ12" s="64">
        <f t="shared" si="30"/>
        <v>6.2869198312236296</v>
      </c>
      <c r="BK12" s="69">
        <f t="shared" si="31"/>
        <v>98.75</v>
      </c>
      <c r="BL12" s="64">
        <f t="shared" si="32"/>
        <v>7.5443037974683547</v>
      </c>
    </row>
    <row r="13" spans="2:64" x14ac:dyDescent="0.2">
      <c r="B13" s="61">
        <v>9</v>
      </c>
      <c r="C13" s="100" t="s">
        <v>180</v>
      </c>
      <c r="D13" s="45"/>
      <c r="E13" s="41">
        <f>0.6</f>
        <v>0.6</v>
      </c>
      <c r="F13" s="41"/>
      <c r="G13" s="41">
        <f>0.6</f>
        <v>0.6</v>
      </c>
      <c r="H13" s="51">
        <f t="shared" si="3"/>
        <v>1.2</v>
      </c>
      <c r="I13" s="59">
        <f>2.26+2.83</f>
        <v>5.09</v>
      </c>
      <c r="J13" s="45"/>
      <c r="K13" s="41">
        <f>0.6</f>
        <v>0.6</v>
      </c>
      <c r="L13" s="41"/>
      <c r="M13" s="41">
        <f>0.6</f>
        <v>0.6</v>
      </c>
      <c r="N13" s="51">
        <f t="shared" si="4"/>
        <v>1.2</v>
      </c>
      <c r="O13" s="56">
        <f>1.57+3.28</f>
        <v>4.8499999999999996</v>
      </c>
      <c r="P13" s="45"/>
      <c r="Q13" s="41">
        <v>0.6</v>
      </c>
      <c r="R13" s="41"/>
      <c r="S13" s="41">
        <f>0.7</f>
        <v>0.7</v>
      </c>
      <c r="T13" s="51">
        <f t="shared" si="5"/>
        <v>1.2999999999999998</v>
      </c>
      <c r="U13" s="56">
        <f>1.29+1.79</f>
        <v>3.08</v>
      </c>
      <c r="V13" s="45"/>
      <c r="W13" s="41">
        <f>1</f>
        <v>1</v>
      </c>
      <c r="X13" s="41"/>
      <c r="Y13" s="41">
        <f>0.6</f>
        <v>0.6</v>
      </c>
      <c r="Z13" s="51">
        <f t="shared" si="6"/>
        <v>1.6</v>
      </c>
      <c r="AA13" s="56">
        <f>1.8+1.42</f>
        <v>3.2199999999999998</v>
      </c>
      <c r="AB13" s="45"/>
      <c r="AC13" s="41">
        <f>0.6</f>
        <v>0.6</v>
      </c>
      <c r="AD13" s="41"/>
      <c r="AE13" s="41">
        <f>1</f>
        <v>1</v>
      </c>
      <c r="AF13" s="51">
        <f t="shared" si="7"/>
        <v>1.6</v>
      </c>
      <c r="AG13" s="59">
        <f>0.73+1.59</f>
        <v>2.3200000000000003</v>
      </c>
      <c r="AH13" s="146">
        <f t="shared" si="8"/>
        <v>1.3800000000000001</v>
      </c>
      <c r="AI13" s="147">
        <f t="shared" si="9"/>
        <v>3.7119999999999997</v>
      </c>
      <c r="AJ13" s="91"/>
      <c r="AK13" s="96"/>
      <c r="AL13" s="106">
        <f t="shared" si="0"/>
        <v>16</v>
      </c>
      <c r="AM13" s="96">
        <f t="shared" si="1"/>
        <v>14.117647058823529</v>
      </c>
      <c r="AN13" s="110">
        <f>32.5</f>
        <v>32.5</v>
      </c>
      <c r="AO13" s="67">
        <f t="shared" si="2"/>
        <v>35.75</v>
      </c>
      <c r="AP13" s="62">
        <f t="shared" si="10"/>
        <v>3.8601398601398609</v>
      </c>
      <c r="AQ13" s="69">
        <f t="shared" si="11"/>
        <v>34.125</v>
      </c>
      <c r="AR13" s="64">
        <f t="shared" si="12"/>
        <v>4.0439560439560447</v>
      </c>
      <c r="AS13" s="69">
        <f t="shared" si="13"/>
        <v>32.5</v>
      </c>
      <c r="AT13" s="64">
        <f t="shared" si="14"/>
        <v>4.2461538461538471</v>
      </c>
      <c r="AU13" s="69">
        <f t="shared" si="15"/>
        <v>31.849999999999998</v>
      </c>
      <c r="AV13" s="64">
        <f t="shared" si="16"/>
        <v>4.3328100470957622</v>
      </c>
      <c r="AW13" s="69">
        <f t="shared" si="17"/>
        <v>30.875</v>
      </c>
      <c r="AX13" s="64">
        <f t="shared" si="18"/>
        <v>4.4696356275303648</v>
      </c>
      <c r="AY13" s="69">
        <f t="shared" si="19"/>
        <v>29.25</v>
      </c>
      <c r="AZ13" s="64">
        <f t="shared" si="20"/>
        <v>4.7179487179487181</v>
      </c>
      <c r="BA13" s="69">
        <f t="shared" si="21"/>
        <v>28.6</v>
      </c>
      <c r="BB13" s="64">
        <f t="shared" si="22"/>
        <v>4.825174825174825</v>
      </c>
      <c r="BC13" s="69">
        <f t="shared" si="23"/>
        <v>27.625</v>
      </c>
      <c r="BD13" s="64">
        <f t="shared" si="24"/>
        <v>4.9954751131221728</v>
      </c>
      <c r="BE13" s="69">
        <f t="shared" si="25"/>
        <v>26</v>
      </c>
      <c r="BF13" s="64">
        <f t="shared" si="26"/>
        <v>5.3076923076923084</v>
      </c>
      <c r="BG13" s="69">
        <f t="shared" si="27"/>
        <v>22.75</v>
      </c>
      <c r="BH13" s="64">
        <f t="shared" si="28"/>
        <v>6.0659340659340666</v>
      </c>
      <c r="BI13" s="69">
        <f t="shared" si="29"/>
        <v>19.5</v>
      </c>
      <c r="BJ13" s="64">
        <f t="shared" si="30"/>
        <v>7.0769230769230775</v>
      </c>
      <c r="BK13" s="69">
        <f t="shared" si="31"/>
        <v>16.25</v>
      </c>
      <c r="BL13" s="64">
        <f t="shared" si="32"/>
        <v>8.4923076923076941</v>
      </c>
    </row>
    <row r="14" spans="2:64" x14ac:dyDescent="0.2">
      <c r="B14" s="61">
        <v>10</v>
      </c>
      <c r="C14" s="103" t="s">
        <v>12</v>
      </c>
      <c r="D14" s="45"/>
      <c r="E14" s="41">
        <f>1.5</f>
        <v>1.5</v>
      </c>
      <c r="F14" s="41"/>
      <c r="G14" s="41">
        <f>4.2</f>
        <v>4.2</v>
      </c>
      <c r="H14" s="51">
        <f t="shared" si="3"/>
        <v>5.7</v>
      </c>
      <c r="I14" s="59">
        <f>2.53+5.19</f>
        <v>7.7200000000000006</v>
      </c>
      <c r="J14" s="45"/>
      <c r="K14" s="41">
        <f>1.25</f>
        <v>1.25</v>
      </c>
      <c r="L14" s="41"/>
      <c r="M14" s="41">
        <f>2.75</f>
        <v>2.75</v>
      </c>
      <c r="N14" s="51">
        <f t="shared" si="4"/>
        <v>4</v>
      </c>
      <c r="O14" s="56">
        <f>2.78+5.82</f>
        <v>8.6</v>
      </c>
      <c r="P14" s="45"/>
      <c r="Q14" s="41">
        <f>1.25</f>
        <v>1.25</v>
      </c>
      <c r="R14" s="41"/>
      <c r="S14" s="41">
        <f>1.75</f>
        <v>1.75</v>
      </c>
      <c r="T14" s="51">
        <f t="shared" si="5"/>
        <v>3</v>
      </c>
      <c r="U14" s="56">
        <f>2.15+3.38</f>
        <v>5.5299999999999994</v>
      </c>
      <c r="V14" s="45"/>
      <c r="W14" s="41">
        <f>1.75</f>
        <v>1.75</v>
      </c>
      <c r="X14" s="41"/>
      <c r="Y14" s="41">
        <f>1.5</f>
        <v>1.5</v>
      </c>
      <c r="Z14" s="51">
        <f t="shared" si="6"/>
        <v>3.25</v>
      </c>
      <c r="AA14" s="56">
        <f>2.53+2.5</f>
        <v>5.0299999999999994</v>
      </c>
      <c r="AB14" s="45"/>
      <c r="AC14" s="41">
        <f>0.75</f>
        <v>0.75</v>
      </c>
      <c r="AD14" s="41"/>
      <c r="AE14" s="41">
        <f>2.2</f>
        <v>2.2000000000000002</v>
      </c>
      <c r="AF14" s="51">
        <f t="shared" si="7"/>
        <v>2.95</v>
      </c>
      <c r="AG14" s="59">
        <f>1.42+3.04</f>
        <v>4.46</v>
      </c>
      <c r="AH14" s="146">
        <f t="shared" si="8"/>
        <v>3.78</v>
      </c>
      <c r="AI14" s="147">
        <f t="shared" si="9"/>
        <v>6.2680000000000007</v>
      </c>
      <c r="AJ14" s="91">
        <f>59.44</f>
        <v>59.44</v>
      </c>
      <c r="AK14" s="96">
        <f t="shared" si="33"/>
        <v>9.5895020188425306</v>
      </c>
      <c r="AL14" s="104">
        <f t="shared" si="0"/>
        <v>76</v>
      </c>
      <c r="AM14" s="96">
        <f t="shared" si="1"/>
        <v>67.058823529411768</v>
      </c>
      <c r="AN14" s="110">
        <f>81.5</f>
        <v>81.5</v>
      </c>
      <c r="AO14" s="67">
        <f t="shared" si="2"/>
        <v>89.65</v>
      </c>
      <c r="AP14" s="62">
        <f t="shared" si="10"/>
        <v>4.2163970998326823</v>
      </c>
      <c r="AQ14" s="69">
        <f t="shared" si="11"/>
        <v>85.575000000000003</v>
      </c>
      <c r="AR14" s="64">
        <f t="shared" si="12"/>
        <v>4.4171779141104288</v>
      </c>
      <c r="AS14" s="69">
        <f t="shared" si="13"/>
        <v>81.5</v>
      </c>
      <c r="AT14" s="64">
        <f t="shared" si="14"/>
        <v>4.6380368098159508</v>
      </c>
      <c r="AU14" s="69">
        <f t="shared" si="15"/>
        <v>79.87</v>
      </c>
      <c r="AV14" s="64">
        <f t="shared" si="16"/>
        <v>4.732690622261174</v>
      </c>
      <c r="AW14" s="69">
        <f t="shared" si="17"/>
        <v>77.424999999999997</v>
      </c>
      <c r="AX14" s="64">
        <f t="shared" si="18"/>
        <v>4.8821440103325804</v>
      </c>
      <c r="AY14" s="69">
        <f t="shared" si="19"/>
        <v>73.350000000000009</v>
      </c>
      <c r="AZ14" s="64">
        <f t="shared" si="20"/>
        <v>5.1533742331288339</v>
      </c>
      <c r="BA14" s="69">
        <f t="shared" si="21"/>
        <v>71.72</v>
      </c>
      <c r="BB14" s="64">
        <f t="shared" si="22"/>
        <v>5.2704963747908531</v>
      </c>
      <c r="BC14" s="69">
        <f t="shared" si="23"/>
        <v>69.274999999999991</v>
      </c>
      <c r="BD14" s="64">
        <f t="shared" si="24"/>
        <v>5.4565138939011195</v>
      </c>
      <c r="BE14" s="69">
        <f t="shared" si="25"/>
        <v>65.2</v>
      </c>
      <c r="BF14" s="64">
        <f t="shared" si="26"/>
        <v>5.7975460122699376</v>
      </c>
      <c r="BG14" s="69">
        <f t="shared" si="27"/>
        <v>57.05</v>
      </c>
      <c r="BH14" s="64">
        <f t="shared" si="28"/>
        <v>6.625766871165645</v>
      </c>
      <c r="BI14" s="69">
        <f t="shared" si="29"/>
        <v>48.9</v>
      </c>
      <c r="BJ14" s="64">
        <f t="shared" si="30"/>
        <v>7.7300613496932513</v>
      </c>
      <c r="BK14" s="69">
        <f t="shared" si="31"/>
        <v>40.75</v>
      </c>
      <c r="BL14" s="64">
        <f t="shared" si="32"/>
        <v>9.2760736196319016</v>
      </c>
    </row>
    <row r="15" spans="2:64" x14ac:dyDescent="0.2">
      <c r="B15" s="61">
        <v>11</v>
      </c>
      <c r="C15" s="100" t="s">
        <v>13</v>
      </c>
      <c r="D15" s="45"/>
      <c r="E15" s="41"/>
      <c r="F15" s="41">
        <f>0.43</f>
        <v>0.43</v>
      </c>
      <c r="G15" s="41">
        <f>2.24</f>
        <v>2.2400000000000002</v>
      </c>
      <c r="H15" s="51">
        <f t="shared" si="3"/>
        <v>2.6700000000000004</v>
      </c>
      <c r="I15" s="59">
        <f>1.56+6.79</f>
        <v>8.35</v>
      </c>
      <c r="J15" s="45"/>
      <c r="K15" s="41"/>
      <c r="L15" s="41"/>
      <c r="M15" s="41">
        <f>1.54</f>
        <v>1.54</v>
      </c>
      <c r="N15" s="51">
        <f t="shared" si="4"/>
        <v>1.54</v>
      </c>
      <c r="O15" s="56">
        <f>7.2</f>
        <v>7.2</v>
      </c>
      <c r="P15" s="45"/>
      <c r="Q15" s="41"/>
      <c r="R15" s="41"/>
      <c r="S15" s="41">
        <f>0.868</f>
        <v>0.86799999999999999</v>
      </c>
      <c r="T15" s="51">
        <f t="shared" si="5"/>
        <v>0.86799999999999999</v>
      </c>
      <c r="U15" s="56">
        <f>5.36</f>
        <v>5.36</v>
      </c>
      <c r="V15" s="45"/>
      <c r="W15" s="41"/>
      <c r="X15" s="41"/>
      <c r="Y15" s="41">
        <f>0.682</f>
        <v>0.68200000000000005</v>
      </c>
      <c r="Z15" s="51">
        <f t="shared" si="6"/>
        <v>0.68200000000000005</v>
      </c>
      <c r="AA15" s="56">
        <f>4.08</f>
        <v>4.08</v>
      </c>
      <c r="AB15" s="45"/>
      <c r="AC15" s="41"/>
      <c r="AD15" s="41"/>
      <c r="AE15" s="41">
        <f>0.5725</f>
        <v>0.57250000000000001</v>
      </c>
      <c r="AF15" s="51">
        <f t="shared" si="7"/>
        <v>0.57250000000000001</v>
      </c>
      <c r="AG15" s="59">
        <f>4.37</f>
        <v>4.37</v>
      </c>
      <c r="AH15" s="146">
        <f t="shared" si="8"/>
        <v>1.2665000000000002</v>
      </c>
      <c r="AI15" s="147">
        <f t="shared" si="9"/>
        <v>5.8720000000000008</v>
      </c>
      <c r="AJ15" s="91"/>
      <c r="AK15" s="96"/>
      <c r="AL15" s="91">
        <f t="shared" si="0"/>
        <v>35.6</v>
      </c>
      <c r="AM15" s="96">
        <f t="shared" si="1"/>
        <v>31.411764705882355</v>
      </c>
      <c r="AN15" s="110">
        <f>33.5</f>
        <v>33.5</v>
      </c>
      <c r="AO15" s="67">
        <f t="shared" si="2"/>
        <v>36.85</v>
      </c>
      <c r="AP15" s="62">
        <f t="shared" si="10"/>
        <v>3.4369063772048856</v>
      </c>
      <c r="AQ15" s="69">
        <f t="shared" si="11"/>
        <v>35.175000000000004</v>
      </c>
      <c r="AR15" s="64">
        <f t="shared" si="12"/>
        <v>3.600568585643213</v>
      </c>
      <c r="AS15" s="69">
        <f t="shared" si="13"/>
        <v>33.5</v>
      </c>
      <c r="AT15" s="64">
        <f t="shared" si="14"/>
        <v>3.7805970149253736</v>
      </c>
      <c r="AU15" s="69">
        <f t="shared" si="15"/>
        <v>32.83</v>
      </c>
      <c r="AV15" s="64">
        <f t="shared" si="16"/>
        <v>3.8577520560463001</v>
      </c>
      <c r="AW15" s="69">
        <f t="shared" si="17"/>
        <v>31.824999999999999</v>
      </c>
      <c r="AX15" s="64">
        <f t="shared" si="18"/>
        <v>3.979575805184604</v>
      </c>
      <c r="AY15" s="69">
        <f t="shared" si="19"/>
        <v>30.150000000000002</v>
      </c>
      <c r="AZ15" s="64">
        <f t="shared" si="20"/>
        <v>4.2006633499170816</v>
      </c>
      <c r="BA15" s="69">
        <f t="shared" si="21"/>
        <v>29.48</v>
      </c>
      <c r="BB15" s="64">
        <f t="shared" si="22"/>
        <v>4.2961329715061067</v>
      </c>
      <c r="BC15" s="69">
        <f t="shared" si="23"/>
        <v>28.474999999999998</v>
      </c>
      <c r="BD15" s="64">
        <f t="shared" si="24"/>
        <v>4.4477611940298516</v>
      </c>
      <c r="BE15" s="69">
        <f t="shared" si="25"/>
        <v>26.8</v>
      </c>
      <c r="BF15" s="64">
        <f t="shared" si="26"/>
        <v>4.7257462686567173</v>
      </c>
      <c r="BG15" s="69">
        <f t="shared" si="27"/>
        <v>23.45</v>
      </c>
      <c r="BH15" s="64">
        <f t="shared" si="28"/>
        <v>5.4008528784648195</v>
      </c>
      <c r="BI15" s="69">
        <f t="shared" si="29"/>
        <v>20.099999999999998</v>
      </c>
      <c r="BJ15" s="64">
        <f t="shared" si="30"/>
        <v>6.3009950248756237</v>
      </c>
      <c r="BK15" s="69">
        <f t="shared" si="31"/>
        <v>16.75</v>
      </c>
      <c r="BL15" s="64">
        <f t="shared" si="32"/>
        <v>7.5611940298507472</v>
      </c>
    </row>
    <row r="16" spans="2:64" x14ac:dyDescent="0.2">
      <c r="B16" s="108">
        <v>12</v>
      </c>
      <c r="C16" s="101" t="s">
        <v>14</v>
      </c>
      <c r="D16" s="45"/>
      <c r="E16" s="41">
        <f>0.13</f>
        <v>0.13</v>
      </c>
      <c r="F16" s="41"/>
      <c r="G16" s="41">
        <f>0.12</f>
        <v>0.12</v>
      </c>
      <c r="H16" s="51">
        <f t="shared" si="3"/>
        <v>0.25</v>
      </c>
      <c r="I16" s="59">
        <f>3.26+3.2</f>
        <v>6.46</v>
      </c>
      <c r="J16" s="45"/>
      <c r="K16" s="41">
        <f>0.15</f>
        <v>0.15</v>
      </c>
      <c r="L16" s="41"/>
      <c r="M16" s="41">
        <f>0.17</f>
        <v>0.17</v>
      </c>
      <c r="N16" s="51">
        <f t="shared" si="4"/>
        <v>0.32</v>
      </c>
      <c r="O16" s="56">
        <f>4.01+2.83</f>
        <v>6.84</v>
      </c>
      <c r="P16" s="45"/>
      <c r="Q16" s="41">
        <f>0.2</f>
        <v>0.2</v>
      </c>
      <c r="R16" s="41"/>
      <c r="S16" s="41">
        <f>0.3</f>
        <v>0.3</v>
      </c>
      <c r="T16" s="51">
        <f t="shared" si="5"/>
        <v>0.5</v>
      </c>
      <c r="U16" s="56">
        <f>2.42+4.17</f>
        <v>6.59</v>
      </c>
      <c r="V16" s="45"/>
      <c r="W16" s="41">
        <f>0.25</f>
        <v>0.25</v>
      </c>
      <c r="X16" s="41"/>
      <c r="Y16" s="41">
        <f>0.35</f>
        <v>0.35</v>
      </c>
      <c r="Z16" s="51">
        <f t="shared" si="6"/>
        <v>0.6</v>
      </c>
      <c r="AA16" s="56">
        <f>2.84+3.68</f>
        <v>6.52</v>
      </c>
      <c r="AB16" s="45"/>
      <c r="AC16" s="41">
        <f>0.25</f>
        <v>0.25</v>
      </c>
      <c r="AD16" s="41"/>
      <c r="AE16" s="41">
        <f>0.25</f>
        <v>0.25</v>
      </c>
      <c r="AF16" s="51">
        <f t="shared" si="7"/>
        <v>0.5</v>
      </c>
      <c r="AG16" s="59">
        <f>3.14+2.78</f>
        <v>5.92</v>
      </c>
      <c r="AH16" s="146">
        <f t="shared" si="8"/>
        <v>0.434</v>
      </c>
      <c r="AI16" s="147">
        <f t="shared" si="9"/>
        <v>6.4659999999999993</v>
      </c>
      <c r="AJ16" s="91"/>
      <c r="AK16" s="96"/>
      <c r="AL16" s="91">
        <f t="shared" si="0"/>
        <v>3.3333333333333335</v>
      </c>
      <c r="AM16" s="96">
        <f t="shared" si="1"/>
        <v>2.9411764705882351</v>
      </c>
      <c r="AN16" s="110">
        <f>3.6</f>
        <v>3.6</v>
      </c>
      <c r="AO16" s="67">
        <f t="shared" si="2"/>
        <v>3.9600000000000004</v>
      </c>
      <c r="AP16" s="62">
        <f t="shared" si="10"/>
        <v>10.959595959595958</v>
      </c>
      <c r="AQ16" s="69">
        <f t="shared" si="11"/>
        <v>3.7800000000000002</v>
      </c>
      <c r="AR16" s="64">
        <f t="shared" si="12"/>
        <v>11.481481481481479</v>
      </c>
      <c r="AS16" s="69">
        <f t="shared" si="13"/>
        <v>3.6</v>
      </c>
      <c r="AT16" s="64">
        <f t="shared" si="14"/>
        <v>12.055555555555555</v>
      </c>
      <c r="AU16" s="69">
        <f t="shared" si="15"/>
        <v>3.528</v>
      </c>
      <c r="AV16" s="64">
        <f t="shared" si="16"/>
        <v>12.301587301587301</v>
      </c>
      <c r="AW16" s="69">
        <f t="shared" si="17"/>
        <v>3.42</v>
      </c>
      <c r="AX16" s="64">
        <f t="shared" si="18"/>
        <v>12.690058479532166</v>
      </c>
      <c r="AY16" s="69">
        <f t="shared" si="19"/>
        <v>3.24</v>
      </c>
      <c r="AZ16" s="64">
        <f t="shared" si="20"/>
        <v>13.39506172839506</v>
      </c>
      <c r="BA16" s="69">
        <f t="shared" si="21"/>
        <v>3.1680000000000001</v>
      </c>
      <c r="BB16" s="64">
        <f t="shared" si="22"/>
        <v>13.699494949494948</v>
      </c>
      <c r="BC16" s="69">
        <f t="shared" si="23"/>
        <v>3.06</v>
      </c>
      <c r="BD16" s="64">
        <f t="shared" si="24"/>
        <v>14.183006535947712</v>
      </c>
      <c r="BE16" s="69">
        <f t="shared" si="25"/>
        <v>2.8800000000000003</v>
      </c>
      <c r="BF16" s="64">
        <f t="shared" si="26"/>
        <v>15.069444444444443</v>
      </c>
      <c r="BG16" s="69">
        <f t="shared" si="27"/>
        <v>2.52</v>
      </c>
      <c r="BH16" s="64">
        <f t="shared" si="28"/>
        <v>17.222222222222221</v>
      </c>
      <c r="BI16" s="69">
        <f t="shared" si="29"/>
        <v>2.16</v>
      </c>
      <c r="BJ16" s="64">
        <f t="shared" si="30"/>
        <v>20.092592592592592</v>
      </c>
      <c r="BK16" s="69">
        <f t="shared" si="31"/>
        <v>1.8</v>
      </c>
      <c r="BL16" s="64">
        <f t="shared" si="32"/>
        <v>24.111111111111111</v>
      </c>
    </row>
    <row r="17" spans="2:64" x14ac:dyDescent="0.2">
      <c r="B17" s="61">
        <v>13</v>
      </c>
      <c r="C17" s="100" t="s">
        <v>181</v>
      </c>
      <c r="D17" s="45"/>
      <c r="E17" s="41">
        <f>0.5</f>
        <v>0.5</v>
      </c>
      <c r="F17" s="41"/>
      <c r="G17" s="41">
        <f>0.5</f>
        <v>0.5</v>
      </c>
      <c r="H17" s="51">
        <f t="shared" si="3"/>
        <v>1</v>
      </c>
      <c r="I17" s="59">
        <f>2.17+2.67</f>
        <v>4.84</v>
      </c>
      <c r="J17" s="45"/>
      <c r="K17" s="41">
        <f>0.5</f>
        <v>0.5</v>
      </c>
      <c r="L17" s="41"/>
      <c r="M17" s="41">
        <f>1</f>
        <v>1</v>
      </c>
      <c r="N17" s="51">
        <f t="shared" si="4"/>
        <v>1.5</v>
      </c>
      <c r="O17" s="56">
        <f>1.85+5.56</f>
        <v>7.41</v>
      </c>
      <c r="P17" s="45"/>
      <c r="Q17" s="41">
        <f>0.6</f>
        <v>0.6</v>
      </c>
      <c r="R17" s="41"/>
      <c r="S17" s="41">
        <f>1</f>
        <v>1</v>
      </c>
      <c r="T17" s="51">
        <f t="shared" si="5"/>
        <v>1.6</v>
      </c>
      <c r="U17" s="56">
        <f>1.22+2.8</f>
        <v>4.0199999999999996</v>
      </c>
      <c r="V17" s="45"/>
      <c r="W17" s="41">
        <f>0.5</f>
        <v>0.5</v>
      </c>
      <c r="X17" s="41"/>
      <c r="Y17" s="41">
        <f>0.9</f>
        <v>0.9</v>
      </c>
      <c r="Z17" s="51">
        <f t="shared" si="6"/>
        <v>1.4</v>
      </c>
      <c r="AA17" s="56">
        <f>0.91+1.81</f>
        <v>2.72</v>
      </c>
      <c r="AB17" s="45"/>
      <c r="AC17" s="41"/>
      <c r="AD17" s="41"/>
      <c r="AE17" s="41">
        <f>0.8</f>
        <v>0.8</v>
      </c>
      <c r="AF17" s="51">
        <f t="shared" si="7"/>
        <v>0.8</v>
      </c>
      <c r="AG17" s="59">
        <f>1.53</f>
        <v>1.53</v>
      </c>
      <c r="AH17" s="146">
        <f t="shared" si="8"/>
        <v>1.26</v>
      </c>
      <c r="AI17" s="147">
        <f t="shared" si="9"/>
        <v>4.1040000000000001</v>
      </c>
      <c r="AJ17" s="91"/>
      <c r="AK17" s="96"/>
      <c r="AL17" s="91">
        <f t="shared" si="0"/>
        <v>13.333333333333334</v>
      </c>
      <c r="AM17" s="96">
        <f t="shared" si="1"/>
        <v>11.76470588235294</v>
      </c>
      <c r="AN17" s="110">
        <f>20.1</f>
        <v>20.100000000000001</v>
      </c>
      <c r="AO17" s="67">
        <f t="shared" si="2"/>
        <v>22.110000000000003</v>
      </c>
      <c r="AP17" s="62">
        <f t="shared" si="10"/>
        <v>5.6987788331071902</v>
      </c>
      <c r="AQ17" s="69">
        <f t="shared" si="11"/>
        <v>21.105000000000004</v>
      </c>
      <c r="AR17" s="64">
        <f t="shared" si="12"/>
        <v>5.9701492537313428</v>
      </c>
      <c r="AS17" s="69">
        <f t="shared" si="13"/>
        <v>20.100000000000001</v>
      </c>
      <c r="AT17" s="64">
        <f t="shared" si="14"/>
        <v>6.2686567164179099</v>
      </c>
      <c r="AU17" s="69">
        <f t="shared" si="15"/>
        <v>19.698</v>
      </c>
      <c r="AV17" s="64">
        <f t="shared" si="16"/>
        <v>6.3965884861407254</v>
      </c>
      <c r="AW17" s="69">
        <f t="shared" si="17"/>
        <v>19.094999999999999</v>
      </c>
      <c r="AX17" s="64">
        <f t="shared" si="18"/>
        <v>6.5985860172820114</v>
      </c>
      <c r="AY17" s="69">
        <f t="shared" si="19"/>
        <v>18.090000000000003</v>
      </c>
      <c r="AZ17" s="64">
        <f t="shared" si="20"/>
        <v>6.9651741293532323</v>
      </c>
      <c r="BA17" s="69">
        <f t="shared" si="21"/>
        <v>17.688000000000002</v>
      </c>
      <c r="BB17" s="64">
        <f t="shared" si="22"/>
        <v>7.1234735413839889</v>
      </c>
      <c r="BC17" s="69">
        <f t="shared" si="23"/>
        <v>17.085000000000001</v>
      </c>
      <c r="BD17" s="64">
        <f t="shared" si="24"/>
        <v>7.3748902546093067</v>
      </c>
      <c r="BE17" s="69">
        <f t="shared" si="25"/>
        <v>16.080000000000002</v>
      </c>
      <c r="BF17" s="64">
        <f t="shared" si="26"/>
        <v>7.8358208955223869</v>
      </c>
      <c r="BG17" s="69">
        <f t="shared" si="27"/>
        <v>14.07</v>
      </c>
      <c r="BH17" s="64">
        <f t="shared" si="28"/>
        <v>8.9552238805970141</v>
      </c>
      <c r="BI17" s="69">
        <f t="shared" si="29"/>
        <v>12.06</v>
      </c>
      <c r="BJ17" s="64">
        <f t="shared" si="30"/>
        <v>10.44776119402985</v>
      </c>
      <c r="BK17" s="69">
        <f t="shared" si="31"/>
        <v>10.050000000000001</v>
      </c>
      <c r="BL17" s="64">
        <f t="shared" si="32"/>
        <v>12.53731343283582</v>
      </c>
    </row>
    <row r="18" spans="2:64" x14ac:dyDescent="0.2">
      <c r="B18" s="61">
        <v>14</v>
      </c>
      <c r="C18" s="100" t="s">
        <v>111</v>
      </c>
      <c r="D18" s="45"/>
      <c r="E18" s="41">
        <f>0.8</f>
        <v>0.8</v>
      </c>
      <c r="F18" s="41"/>
      <c r="G18" s="41">
        <f>0.8</f>
        <v>0.8</v>
      </c>
      <c r="H18" s="51">
        <f t="shared" si="3"/>
        <v>1.6</v>
      </c>
      <c r="I18" s="59">
        <f>2.83+2.39</f>
        <v>5.2200000000000006</v>
      </c>
      <c r="J18" s="45"/>
      <c r="K18" s="41">
        <f>0.8</f>
        <v>0.8</v>
      </c>
      <c r="L18" s="41"/>
      <c r="M18" s="41">
        <f>0.8</f>
        <v>0.8</v>
      </c>
      <c r="N18" s="51">
        <f t="shared" si="4"/>
        <v>1.6</v>
      </c>
      <c r="O18" s="56">
        <f>2.09+2.46</f>
        <v>4.55</v>
      </c>
      <c r="P18" s="45"/>
      <c r="Q18" s="41">
        <f>0.8</f>
        <v>0.8</v>
      </c>
      <c r="R18" s="41"/>
      <c r="S18" s="41">
        <f>0.8</f>
        <v>0.8</v>
      </c>
      <c r="T18" s="51">
        <f t="shared" si="5"/>
        <v>1.6</v>
      </c>
      <c r="U18" s="56">
        <f>1.89+1.95</f>
        <v>3.84</v>
      </c>
      <c r="V18" s="45"/>
      <c r="W18" s="41">
        <f>0.75</f>
        <v>0.75</v>
      </c>
      <c r="X18" s="41"/>
      <c r="Y18" s="41">
        <f>0.85</f>
        <v>0.85</v>
      </c>
      <c r="Z18" s="51">
        <f t="shared" si="6"/>
        <v>1.6</v>
      </c>
      <c r="AA18" s="56">
        <f>1.55+1.87</f>
        <v>3.42</v>
      </c>
      <c r="AB18" s="45"/>
      <c r="AC18" s="41">
        <f>0.52</f>
        <v>0.52</v>
      </c>
      <c r="AD18" s="41"/>
      <c r="AE18" s="41">
        <f>0.86</f>
        <v>0.86</v>
      </c>
      <c r="AF18" s="51">
        <f t="shared" si="7"/>
        <v>1.38</v>
      </c>
      <c r="AG18" s="59">
        <f>1.03+2.07</f>
        <v>3.0999999999999996</v>
      </c>
      <c r="AH18" s="146">
        <f t="shared" si="8"/>
        <v>1.556</v>
      </c>
      <c r="AI18" s="147">
        <f t="shared" si="9"/>
        <v>4.0260000000000007</v>
      </c>
      <c r="AJ18" s="91"/>
      <c r="AK18" s="96"/>
      <c r="AL18" s="91">
        <f t="shared" si="0"/>
        <v>21.333333333333336</v>
      </c>
      <c r="AM18" s="96">
        <f t="shared" si="1"/>
        <v>18.823529411764707</v>
      </c>
      <c r="AN18" s="110">
        <f>36.75</f>
        <v>36.75</v>
      </c>
      <c r="AO18" s="67">
        <f t="shared" si="2"/>
        <v>40.425000000000004</v>
      </c>
      <c r="AP18" s="62">
        <f t="shared" si="10"/>
        <v>3.8491032776747058</v>
      </c>
      <c r="AQ18" s="69">
        <f t="shared" si="11"/>
        <v>38.587499999999999</v>
      </c>
      <c r="AR18" s="64">
        <f t="shared" si="12"/>
        <v>4.0323939099449309</v>
      </c>
      <c r="AS18" s="69">
        <f t="shared" si="13"/>
        <v>36.75</v>
      </c>
      <c r="AT18" s="64">
        <f t="shared" si="14"/>
        <v>4.2340136054421773</v>
      </c>
      <c r="AU18" s="69">
        <f t="shared" si="15"/>
        <v>36.015000000000001</v>
      </c>
      <c r="AV18" s="64">
        <f t="shared" si="16"/>
        <v>4.3204220463695684</v>
      </c>
      <c r="AW18" s="69">
        <f t="shared" si="17"/>
        <v>34.912500000000001</v>
      </c>
      <c r="AX18" s="64">
        <f t="shared" si="18"/>
        <v>4.4568564267812389</v>
      </c>
      <c r="AY18" s="69">
        <f t="shared" si="19"/>
        <v>33.075000000000003</v>
      </c>
      <c r="AZ18" s="64">
        <f t="shared" si="20"/>
        <v>4.7044595616024187</v>
      </c>
      <c r="BA18" s="69">
        <f t="shared" si="21"/>
        <v>32.340000000000003</v>
      </c>
      <c r="BB18" s="64">
        <f t="shared" si="22"/>
        <v>4.8113790970933827</v>
      </c>
      <c r="BC18" s="69">
        <f t="shared" si="23"/>
        <v>31.237500000000001</v>
      </c>
      <c r="BD18" s="64">
        <f t="shared" si="24"/>
        <v>4.9811924769907963</v>
      </c>
      <c r="BE18" s="69">
        <f t="shared" si="25"/>
        <v>29.400000000000002</v>
      </c>
      <c r="BF18" s="64">
        <f t="shared" si="26"/>
        <v>5.2925170068027212</v>
      </c>
      <c r="BG18" s="69">
        <f t="shared" si="27"/>
        <v>25.724999999999998</v>
      </c>
      <c r="BH18" s="64">
        <f t="shared" si="28"/>
        <v>6.0485908649173963</v>
      </c>
      <c r="BI18" s="69">
        <f t="shared" si="29"/>
        <v>22.05</v>
      </c>
      <c r="BJ18" s="64">
        <f t="shared" si="30"/>
        <v>7.0566893424036286</v>
      </c>
      <c r="BK18" s="69">
        <f t="shared" si="31"/>
        <v>18.375</v>
      </c>
      <c r="BL18" s="64">
        <f t="shared" si="32"/>
        <v>8.4680272108843546</v>
      </c>
    </row>
    <row r="19" spans="2:64" x14ac:dyDescent="0.2">
      <c r="B19" s="61">
        <v>15</v>
      </c>
      <c r="C19" s="100" t="s">
        <v>182</v>
      </c>
      <c r="D19" s="45"/>
      <c r="E19" s="41">
        <f>0.25</f>
        <v>0.25</v>
      </c>
      <c r="F19" s="41"/>
      <c r="G19" s="41">
        <f>0.25</f>
        <v>0.25</v>
      </c>
      <c r="H19" s="51">
        <f t="shared" si="3"/>
        <v>0.5</v>
      </c>
      <c r="I19" s="59">
        <f>3.85+2.84</f>
        <v>6.6899999999999995</v>
      </c>
      <c r="J19" s="45"/>
      <c r="K19" s="41">
        <f>0.24</f>
        <v>0.24</v>
      </c>
      <c r="L19" s="41"/>
      <c r="M19" s="41">
        <v>0.24</v>
      </c>
      <c r="N19" s="51">
        <f t="shared" si="4"/>
        <v>0.48</v>
      </c>
      <c r="O19" s="56">
        <f>2.87+4.32</f>
        <v>7.19</v>
      </c>
      <c r="P19" s="45"/>
      <c r="Q19" s="41"/>
      <c r="R19" s="41">
        <f>0.1</f>
        <v>0.1</v>
      </c>
      <c r="S19" s="41">
        <f>0.26</f>
        <v>0.26</v>
      </c>
      <c r="T19" s="51">
        <f t="shared" si="5"/>
        <v>0.36</v>
      </c>
      <c r="U19" s="56">
        <f>1.92+3.54</f>
        <v>5.46</v>
      </c>
      <c r="V19" s="45"/>
      <c r="W19" s="41"/>
      <c r="X19" s="41">
        <v>0.09</v>
      </c>
      <c r="Y19" s="41">
        <f>0.25</f>
        <v>0.25</v>
      </c>
      <c r="Z19" s="51">
        <f t="shared" si="6"/>
        <v>0.33999999999999997</v>
      </c>
      <c r="AA19" s="56">
        <f>1.27+4.27</f>
        <v>5.5399999999999991</v>
      </c>
      <c r="AB19" s="45"/>
      <c r="AC19" s="41"/>
      <c r="AD19" s="41">
        <f>0.08</f>
        <v>0.08</v>
      </c>
      <c r="AE19" s="41">
        <f>0.18</f>
        <v>0.18</v>
      </c>
      <c r="AF19" s="51">
        <f t="shared" si="7"/>
        <v>0.26</v>
      </c>
      <c r="AG19" s="59">
        <f>1.25+3.08</f>
        <v>4.33</v>
      </c>
      <c r="AH19" s="146">
        <f t="shared" si="8"/>
        <v>0.38799999999999996</v>
      </c>
      <c r="AI19" s="147">
        <f t="shared" si="9"/>
        <v>5.8420000000000005</v>
      </c>
      <c r="AJ19" s="91"/>
      <c r="AK19" s="96"/>
      <c r="AL19" s="91">
        <f t="shared" si="0"/>
        <v>6.666666666666667</v>
      </c>
      <c r="AM19" s="96">
        <f t="shared" si="1"/>
        <v>5.8823529411764701</v>
      </c>
      <c r="AN19" s="110">
        <f>8.75</f>
        <v>8.75</v>
      </c>
      <c r="AO19" s="67">
        <f t="shared" si="2"/>
        <v>9.625</v>
      </c>
      <c r="AP19" s="62">
        <f t="shared" si="10"/>
        <v>4.0311688311688307</v>
      </c>
      <c r="AQ19" s="69">
        <f t="shared" si="11"/>
        <v>9.1875</v>
      </c>
      <c r="AR19" s="64">
        <f t="shared" si="12"/>
        <v>4.2231292517006791</v>
      </c>
      <c r="AS19" s="69">
        <f t="shared" si="13"/>
        <v>8.75</v>
      </c>
      <c r="AT19" s="64">
        <f t="shared" si="14"/>
        <v>4.4342857142857133</v>
      </c>
      <c r="AU19" s="69">
        <f t="shared" si="15"/>
        <v>8.5749999999999993</v>
      </c>
      <c r="AV19" s="64">
        <f t="shared" si="16"/>
        <v>4.5247813411078717</v>
      </c>
      <c r="AW19" s="69">
        <f t="shared" si="17"/>
        <v>8.3125</v>
      </c>
      <c r="AX19" s="64">
        <f t="shared" si="18"/>
        <v>4.6676691729323299</v>
      </c>
      <c r="AY19" s="69">
        <f t="shared" si="19"/>
        <v>7.875</v>
      </c>
      <c r="AZ19" s="64">
        <f t="shared" si="20"/>
        <v>4.9269841269841264</v>
      </c>
      <c r="BA19" s="69">
        <f t="shared" si="21"/>
        <v>7.7</v>
      </c>
      <c r="BB19" s="64">
        <f t="shared" si="22"/>
        <v>5.0389610389610384</v>
      </c>
      <c r="BC19" s="69">
        <f t="shared" si="23"/>
        <v>7.4375</v>
      </c>
      <c r="BD19" s="64">
        <f t="shared" si="24"/>
        <v>5.2168067226890749</v>
      </c>
      <c r="BE19" s="69">
        <f t="shared" si="25"/>
        <v>7</v>
      </c>
      <c r="BF19" s="64">
        <f t="shared" si="26"/>
        <v>5.5428571428571427</v>
      </c>
      <c r="BG19" s="69">
        <f t="shared" si="27"/>
        <v>6.125</v>
      </c>
      <c r="BH19" s="64">
        <f t="shared" si="28"/>
        <v>6.33469387755102</v>
      </c>
      <c r="BI19" s="69">
        <f t="shared" si="29"/>
        <v>5.25</v>
      </c>
      <c r="BJ19" s="64">
        <f t="shared" si="30"/>
        <v>7.3904761904761891</v>
      </c>
      <c r="BK19" s="69">
        <f t="shared" si="31"/>
        <v>4.375</v>
      </c>
      <c r="BL19" s="64">
        <f t="shared" si="32"/>
        <v>8.8685714285714266</v>
      </c>
    </row>
    <row r="20" spans="2:64" x14ac:dyDescent="0.2">
      <c r="B20" s="61">
        <v>16</v>
      </c>
      <c r="C20" s="100" t="s">
        <v>16</v>
      </c>
      <c r="D20" s="45"/>
      <c r="E20" s="41">
        <f>0.9</f>
        <v>0.9</v>
      </c>
      <c r="F20" s="41">
        <f>0.9</f>
        <v>0.9</v>
      </c>
      <c r="G20" s="41">
        <f>1.4</f>
        <v>1.4</v>
      </c>
      <c r="H20" s="51">
        <f t="shared" si="3"/>
        <v>3.2</v>
      </c>
      <c r="I20" s="59">
        <f>2.79+2.79+4.12</f>
        <v>9.6999999999999993</v>
      </c>
      <c r="J20" s="45"/>
      <c r="K20" s="41">
        <f>0.8</f>
        <v>0.8</v>
      </c>
      <c r="L20" s="41"/>
      <c r="M20" s="41">
        <f>1.3</f>
        <v>1.3</v>
      </c>
      <c r="N20" s="51">
        <f t="shared" si="4"/>
        <v>2.1</v>
      </c>
      <c r="O20" s="56">
        <f>2.41+4.37</f>
        <v>6.78</v>
      </c>
      <c r="P20" s="45"/>
      <c r="Q20" s="41">
        <f>0.8</f>
        <v>0.8</v>
      </c>
      <c r="R20" s="41"/>
      <c r="S20" s="41">
        <f>1.2</f>
        <v>1.2</v>
      </c>
      <c r="T20" s="51">
        <f t="shared" si="5"/>
        <v>2</v>
      </c>
      <c r="U20" s="56">
        <f>2.48+3.5</f>
        <v>5.98</v>
      </c>
      <c r="V20" s="45"/>
      <c r="W20" s="41">
        <f>1.3</f>
        <v>1.3</v>
      </c>
      <c r="X20" s="41"/>
      <c r="Y20" s="41">
        <v>0.7</v>
      </c>
      <c r="Z20" s="51">
        <f t="shared" si="6"/>
        <v>2</v>
      </c>
      <c r="AA20" s="56">
        <f>3.71+2.22</f>
        <v>5.93</v>
      </c>
      <c r="AB20" s="45"/>
      <c r="AC20" s="41">
        <f>1.2</f>
        <v>1.2</v>
      </c>
      <c r="AD20" s="41"/>
      <c r="AE20" s="41">
        <f>0.8</f>
        <v>0.8</v>
      </c>
      <c r="AF20" s="51">
        <f t="shared" si="7"/>
        <v>2</v>
      </c>
      <c r="AG20" s="59">
        <f>3.06+2</f>
        <v>5.0600000000000005</v>
      </c>
      <c r="AH20" s="146">
        <f t="shared" si="8"/>
        <v>2.2600000000000002</v>
      </c>
      <c r="AI20" s="147">
        <f t="shared" si="9"/>
        <v>6.69</v>
      </c>
      <c r="AJ20" s="91"/>
      <c r="AK20" s="96"/>
      <c r="AL20" s="91">
        <f t="shared" si="0"/>
        <v>42.666666666666671</v>
      </c>
      <c r="AM20" s="96">
        <f t="shared" si="1"/>
        <v>37.647058823529413</v>
      </c>
      <c r="AN20" s="110">
        <f>36.75</f>
        <v>36.75</v>
      </c>
      <c r="AO20" s="67">
        <f t="shared" si="2"/>
        <v>40.425000000000004</v>
      </c>
      <c r="AP20" s="62">
        <f t="shared" si="10"/>
        <v>5.5905998763141618</v>
      </c>
      <c r="AQ20" s="69">
        <f t="shared" si="11"/>
        <v>38.587499999999999</v>
      </c>
      <c r="AR20" s="64">
        <f t="shared" si="12"/>
        <v>5.856818918043408</v>
      </c>
      <c r="AS20" s="69">
        <f t="shared" si="13"/>
        <v>36.75</v>
      </c>
      <c r="AT20" s="64">
        <f t="shared" si="14"/>
        <v>6.1496598639455788</v>
      </c>
      <c r="AU20" s="69">
        <f t="shared" si="15"/>
        <v>36.015000000000001</v>
      </c>
      <c r="AV20" s="64">
        <f t="shared" si="16"/>
        <v>6.2751631264750802</v>
      </c>
      <c r="AW20" s="69">
        <f t="shared" si="17"/>
        <v>34.912500000000001</v>
      </c>
      <c r="AX20" s="64">
        <f t="shared" si="18"/>
        <v>6.4733261725742937</v>
      </c>
      <c r="AY20" s="69">
        <f t="shared" si="19"/>
        <v>33.075000000000003</v>
      </c>
      <c r="AZ20" s="64">
        <f t="shared" si="20"/>
        <v>6.8329554043839762</v>
      </c>
      <c r="BA20" s="69">
        <f t="shared" si="21"/>
        <v>32.340000000000003</v>
      </c>
      <c r="BB20" s="64">
        <f t="shared" si="22"/>
        <v>6.9882498453927022</v>
      </c>
      <c r="BC20" s="69">
        <f t="shared" si="23"/>
        <v>31.237500000000001</v>
      </c>
      <c r="BD20" s="64">
        <f t="shared" si="24"/>
        <v>7.2348939575830347</v>
      </c>
      <c r="BE20" s="69">
        <f t="shared" si="25"/>
        <v>29.400000000000002</v>
      </c>
      <c r="BF20" s="64">
        <f t="shared" si="26"/>
        <v>7.6870748299319729</v>
      </c>
      <c r="BG20" s="69">
        <f t="shared" si="27"/>
        <v>25.724999999999998</v>
      </c>
      <c r="BH20" s="64">
        <f t="shared" si="28"/>
        <v>8.7852283770651134</v>
      </c>
      <c r="BI20" s="69">
        <f t="shared" si="29"/>
        <v>22.05</v>
      </c>
      <c r="BJ20" s="64">
        <f t="shared" si="30"/>
        <v>10.249433106575964</v>
      </c>
      <c r="BK20" s="69">
        <f t="shared" si="31"/>
        <v>18.375</v>
      </c>
      <c r="BL20" s="64">
        <f t="shared" si="32"/>
        <v>12.299319727891158</v>
      </c>
    </row>
    <row r="21" spans="2:64" x14ac:dyDescent="0.2">
      <c r="B21" s="61">
        <v>17</v>
      </c>
      <c r="C21" s="100" t="s">
        <v>17</v>
      </c>
      <c r="D21" s="45"/>
      <c r="E21" s="41">
        <f>4.1</f>
        <v>4.0999999999999996</v>
      </c>
      <c r="F21" s="41"/>
      <c r="G21" s="41">
        <f>4.65</f>
        <v>4.6500000000000004</v>
      </c>
      <c r="H21" s="51">
        <f t="shared" si="3"/>
        <v>8.75</v>
      </c>
      <c r="I21" s="59">
        <f>3.45+3.47</f>
        <v>6.92</v>
      </c>
      <c r="J21" s="45"/>
      <c r="K21" s="41">
        <f>4.5</f>
        <v>4.5</v>
      </c>
      <c r="L21" s="41"/>
      <c r="M21" s="41">
        <f>5.125</f>
        <v>5.125</v>
      </c>
      <c r="N21" s="51">
        <f t="shared" si="4"/>
        <v>9.625</v>
      </c>
      <c r="O21" s="56">
        <f>3.05+4.46</f>
        <v>7.51</v>
      </c>
      <c r="P21" s="45"/>
      <c r="Q21" s="41">
        <f>4.25</f>
        <v>4.25</v>
      </c>
      <c r="R21" s="41"/>
      <c r="S21" s="41">
        <f>5.25</f>
        <v>5.25</v>
      </c>
      <c r="T21" s="51">
        <f t="shared" si="5"/>
        <v>9.5</v>
      </c>
      <c r="U21" s="56">
        <f>2.63+3.49</f>
        <v>6.12</v>
      </c>
      <c r="V21" s="45"/>
      <c r="W21" s="41">
        <f>4.25</f>
        <v>4.25</v>
      </c>
      <c r="X21" s="41"/>
      <c r="Y21" s="41">
        <f>5</f>
        <v>5</v>
      </c>
      <c r="Z21" s="51">
        <f t="shared" si="6"/>
        <v>9.25</v>
      </c>
      <c r="AA21" s="56">
        <f>2.75+3.11</f>
        <v>5.8599999999999994</v>
      </c>
      <c r="AB21" s="45"/>
      <c r="AC21" s="41">
        <f>2</f>
        <v>2</v>
      </c>
      <c r="AD21" s="41"/>
      <c r="AE21" s="41">
        <f>3</f>
        <v>3</v>
      </c>
      <c r="AF21" s="51">
        <f t="shared" si="7"/>
        <v>5</v>
      </c>
      <c r="AG21" s="59">
        <f>1.93+2.28</f>
        <v>4.21</v>
      </c>
      <c r="AH21" s="146">
        <f t="shared" si="8"/>
        <v>8.4250000000000007</v>
      </c>
      <c r="AI21" s="147">
        <f t="shared" si="9"/>
        <v>6.1240000000000006</v>
      </c>
      <c r="AJ21" s="91"/>
      <c r="AK21" s="96"/>
      <c r="AL21" s="91">
        <f t="shared" si="0"/>
        <v>116.66666666666667</v>
      </c>
      <c r="AM21" s="96">
        <f t="shared" si="1"/>
        <v>102.94117647058823</v>
      </c>
      <c r="AN21" s="110">
        <f>151</f>
        <v>151</v>
      </c>
      <c r="AO21" s="67">
        <f t="shared" si="2"/>
        <v>166.10000000000002</v>
      </c>
      <c r="AP21" s="62">
        <f t="shared" si="10"/>
        <v>5.0722456351595415</v>
      </c>
      <c r="AQ21" s="69">
        <f t="shared" si="11"/>
        <v>158.55000000000001</v>
      </c>
      <c r="AR21" s="64">
        <f t="shared" si="12"/>
        <v>5.3137811415957108</v>
      </c>
      <c r="AS21" s="69">
        <f t="shared" si="13"/>
        <v>151</v>
      </c>
      <c r="AT21" s="64">
        <f t="shared" si="14"/>
        <v>5.5794701986754971</v>
      </c>
      <c r="AU21" s="69">
        <f t="shared" si="15"/>
        <v>147.97999999999999</v>
      </c>
      <c r="AV21" s="64">
        <f t="shared" si="16"/>
        <v>5.6933369374239771</v>
      </c>
      <c r="AW21" s="69">
        <f t="shared" si="17"/>
        <v>143.44999999999999</v>
      </c>
      <c r="AX21" s="64">
        <f t="shared" si="18"/>
        <v>5.8731265249215765</v>
      </c>
      <c r="AY21" s="69">
        <f t="shared" si="19"/>
        <v>135.9</v>
      </c>
      <c r="AZ21" s="64">
        <f t="shared" si="20"/>
        <v>6.199411331861663</v>
      </c>
      <c r="BA21" s="69">
        <f t="shared" si="21"/>
        <v>132.88</v>
      </c>
      <c r="BB21" s="64">
        <f t="shared" si="22"/>
        <v>6.3403070439494291</v>
      </c>
      <c r="BC21" s="69">
        <f t="shared" si="23"/>
        <v>128.35</v>
      </c>
      <c r="BD21" s="64">
        <f t="shared" si="24"/>
        <v>6.5640825866770562</v>
      </c>
      <c r="BE21" s="69">
        <f t="shared" si="25"/>
        <v>120.80000000000001</v>
      </c>
      <c r="BF21" s="64">
        <f t="shared" si="26"/>
        <v>6.9743377483443707</v>
      </c>
      <c r="BG21" s="69">
        <f t="shared" si="27"/>
        <v>105.69999999999999</v>
      </c>
      <c r="BH21" s="64">
        <f t="shared" si="28"/>
        <v>7.9706717123935675</v>
      </c>
      <c r="BI21" s="69">
        <f t="shared" si="29"/>
        <v>90.6</v>
      </c>
      <c r="BJ21" s="64">
        <f t="shared" si="30"/>
        <v>9.2991169977924955</v>
      </c>
      <c r="BK21" s="69">
        <f t="shared" si="31"/>
        <v>75.5</v>
      </c>
      <c r="BL21" s="64">
        <f t="shared" si="32"/>
        <v>11.158940397350994</v>
      </c>
    </row>
    <row r="22" spans="2:64" x14ac:dyDescent="0.2">
      <c r="B22" s="61">
        <v>18</v>
      </c>
      <c r="C22" s="101" t="s">
        <v>183</v>
      </c>
      <c r="D22" s="45"/>
      <c r="E22" s="41">
        <f>0.02</f>
        <v>0.02</v>
      </c>
      <c r="F22" s="41"/>
      <c r="G22" s="41">
        <f>0.07</f>
        <v>7.0000000000000007E-2</v>
      </c>
      <c r="H22" s="51">
        <f t="shared" si="3"/>
        <v>9.0000000000000011E-2</v>
      </c>
      <c r="I22" s="59">
        <f>1.47+5.26</f>
        <v>6.7299999999999995</v>
      </c>
      <c r="J22" s="45"/>
      <c r="K22" s="41">
        <f>0.03</f>
        <v>0.03</v>
      </c>
      <c r="L22" s="41"/>
      <c r="M22" s="41">
        <f>0.08</f>
        <v>0.08</v>
      </c>
      <c r="N22" s="51">
        <f t="shared" si="4"/>
        <v>0.11</v>
      </c>
      <c r="O22" s="56">
        <f>1.75+5.26</f>
        <v>7.01</v>
      </c>
      <c r="P22" s="45"/>
      <c r="Q22" s="41">
        <f>0.05</f>
        <v>0.05</v>
      </c>
      <c r="R22" s="41"/>
      <c r="S22" s="41">
        <f>0.1</f>
        <v>0.1</v>
      </c>
      <c r="T22" s="51">
        <f t="shared" si="5"/>
        <v>0.15000000000000002</v>
      </c>
      <c r="U22" s="56">
        <f>2.19+4.63</f>
        <v>6.82</v>
      </c>
      <c r="V22" s="45"/>
      <c r="W22" s="41">
        <f>0.04</f>
        <v>0.04</v>
      </c>
      <c r="X22" s="41"/>
      <c r="Y22" s="41">
        <f>0.1</f>
        <v>0.1</v>
      </c>
      <c r="Z22" s="51">
        <f t="shared" si="6"/>
        <v>0.14000000000000001</v>
      </c>
      <c r="AA22" s="56">
        <f>1.85+4.27</f>
        <v>6.1199999999999992</v>
      </c>
      <c r="AB22" s="45"/>
      <c r="AC22" s="41">
        <f>0.03</f>
        <v>0.03</v>
      </c>
      <c r="AD22" s="41"/>
      <c r="AE22" s="41">
        <f>0.07</f>
        <v>7.0000000000000007E-2</v>
      </c>
      <c r="AF22" s="51">
        <f t="shared" si="7"/>
        <v>0.1</v>
      </c>
      <c r="AG22" s="59">
        <f>1.38+3.15</f>
        <v>4.5299999999999994</v>
      </c>
      <c r="AH22" s="146">
        <f>AVERAGE(H22,N22,T22,Z22,AF22)</f>
        <v>0.11800000000000002</v>
      </c>
      <c r="AI22" s="147">
        <f>AVERAGE(I22,O22,U22,AA22,AG22)</f>
        <v>6.242</v>
      </c>
      <c r="AJ22" s="91"/>
      <c r="AK22" s="96"/>
      <c r="AL22" s="91">
        <f t="shared" si="0"/>
        <v>1.2000000000000002</v>
      </c>
      <c r="AM22" s="96">
        <f t="shared" si="1"/>
        <v>1.0588235294117649</v>
      </c>
      <c r="AN22" s="110">
        <f>1.4</f>
        <v>1.4</v>
      </c>
      <c r="AO22" s="67">
        <f t="shared" si="2"/>
        <v>1.54</v>
      </c>
      <c r="AP22" s="62">
        <f>(AH22/AO22)*100</f>
        <v>7.6623376623376638</v>
      </c>
      <c r="AQ22" s="69">
        <f t="shared" si="11"/>
        <v>1.47</v>
      </c>
      <c r="AR22" s="64">
        <f t="shared" si="12"/>
        <v>8.0272108843537424</v>
      </c>
      <c r="AS22" s="69">
        <f t="shared" si="13"/>
        <v>1.4</v>
      </c>
      <c r="AT22" s="64">
        <f t="shared" si="14"/>
        <v>8.4285714285714306</v>
      </c>
      <c r="AU22" s="69">
        <f t="shared" si="15"/>
        <v>1.3719999999999999</v>
      </c>
      <c r="AV22" s="64">
        <f t="shared" si="16"/>
        <v>8.6005830903790113</v>
      </c>
      <c r="AW22" s="69">
        <f t="shared" si="17"/>
        <v>1.3299999999999998</v>
      </c>
      <c r="AX22" s="64">
        <f t="shared" si="18"/>
        <v>8.8721804511278215</v>
      </c>
      <c r="AY22" s="69">
        <f t="shared" si="19"/>
        <v>1.26</v>
      </c>
      <c r="AZ22" s="64">
        <f t="shared" si="20"/>
        <v>9.3650793650793673</v>
      </c>
      <c r="BA22" s="69">
        <f t="shared" si="21"/>
        <v>1.232</v>
      </c>
      <c r="BB22" s="64">
        <f t="shared" si="22"/>
        <v>9.5779220779220804</v>
      </c>
      <c r="BC22" s="69">
        <f t="shared" si="23"/>
        <v>1.19</v>
      </c>
      <c r="BD22" s="64">
        <f t="shared" si="24"/>
        <v>9.9159663865546239</v>
      </c>
      <c r="BE22" s="69">
        <f t="shared" si="25"/>
        <v>1.1199999999999999</v>
      </c>
      <c r="BF22" s="64">
        <f t="shared" si="26"/>
        <v>10.535714285714288</v>
      </c>
      <c r="BG22" s="69">
        <f t="shared" si="27"/>
        <v>0.97999999999999987</v>
      </c>
      <c r="BH22" s="64">
        <f t="shared" si="28"/>
        <v>12.040816326530617</v>
      </c>
      <c r="BI22" s="69">
        <f t="shared" si="29"/>
        <v>0.84</v>
      </c>
      <c r="BJ22" s="64">
        <f t="shared" si="30"/>
        <v>14.047619047619051</v>
      </c>
      <c r="BK22" s="69">
        <f t="shared" si="31"/>
        <v>0.7</v>
      </c>
      <c r="BL22" s="64">
        <f t="shared" si="32"/>
        <v>16.857142857142861</v>
      </c>
    </row>
    <row r="23" spans="2:64" x14ac:dyDescent="0.2">
      <c r="B23" s="61">
        <v>19</v>
      </c>
      <c r="C23" s="103" t="s">
        <v>18</v>
      </c>
      <c r="D23" s="45"/>
      <c r="E23" s="41">
        <f>0.8</f>
        <v>0.8</v>
      </c>
      <c r="F23" s="41"/>
      <c r="G23" s="41">
        <f>0.8</f>
        <v>0.8</v>
      </c>
      <c r="H23" s="51">
        <f t="shared" si="3"/>
        <v>1.6</v>
      </c>
      <c r="I23" s="59">
        <f>3.08+2.76</f>
        <v>5.84</v>
      </c>
      <c r="J23" s="45"/>
      <c r="K23" s="41">
        <f>0.8</f>
        <v>0.8</v>
      </c>
      <c r="L23" s="41"/>
      <c r="M23" s="41">
        <f>0.8</f>
        <v>0.8</v>
      </c>
      <c r="N23" s="51">
        <f t="shared" si="4"/>
        <v>1.6</v>
      </c>
      <c r="O23" s="56">
        <f>2.6+3.08</f>
        <v>5.68</v>
      </c>
      <c r="P23" s="45"/>
      <c r="Q23" s="41">
        <f>0.8</f>
        <v>0.8</v>
      </c>
      <c r="R23" s="41"/>
      <c r="S23" s="41">
        <v>0.8</v>
      </c>
      <c r="T23" s="51">
        <f t="shared" si="5"/>
        <v>1.6</v>
      </c>
      <c r="U23" s="56">
        <f>2.3+2.78</f>
        <v>5.08</v>
      </c>
      <c r="V23" s="45"/>
      <c r="W23" s="41">
        <f>0.8</f>
        <v>0.8</v>
      </c>
      <c r="X23" s="41"/>
      <c r="Y23" s="41">
        <v>0.8</v>
      </c>
      <c r="Z23" s="51">
        <f t="shared" si="6"/>
        <v>1.6</v>
      </c>
      <c r="AA23" s="56">
        <f>1.86+2.11</f>
        <v>3.9699999999999998</v>
      </c>
      <c r="AB23" s="45"/>
      <c r="AC23" s="41">
        <f>1.15</f>
        <v>1.1499999999999999</v>
      </c>
      <c r="AD23" s="41"/>
      <c r="AE23" s="41">
        <f>1.35</f>
        <v>1.35</v>
      </c>
      <c r="AF23" s="51">
        <f t="shared" si="7"/>
        <v>2.5</v>
      </c>
      <c r="AG23" s="59">
        <f>2.53+3.03</f>
        <v>5.56</v>
      </c>
      <c r="AH23" s="146">
        <f t="shared" si="8"/>
        <v>1.78</v>
      </c>
      <c r="AI23" s="147">
        <f t="shared" si="9"/>
        <v>5.226</v>
      </c>
      <c r="AJ23" s="91">
        <f>26.58</f>
        <v>26.58</v>
      </c>
      <c r="AK23" s="96">
        <f t="shared" si="33"/>
        <v>6.0195635816403321</v>
      </c>
      <c r="AL23" s="104">
        <f t="shared" si="0"/>
        <v>21.333333333333336</v>
      </c>
      <c r="AM23" s="96">
        <f t="shared" si="1"/>
        <v>18.823529411764707</v>
      </c>
      <c r="AN23" s="110">
        <f>29.5</f>
        <v>29.5</v>
      </c>
      <c r="AO23" s="67">
        <f t="shared" si="2"/>
        <v>32.450000000000003</v>
      </c>
      <c r="AP23" s="62">
        <f t="shared" si="10"/>
        <v>5.4853620955315865</v>
      </c>
      <c r="AQ23" s="69">
        <f t="shared" si="11"/>
        <v>30.975000000000001</v>
      </c>
      <c r="AR23" s="64">
        <f t="shared" si="12"/>
        <v>5.7465698143664241</v>
      </c>
      <c r="AS23" s="69">
        <f t="shared" si="13"/>
        <v>29.5</v>
      </c>
      <c r="AT23" s="64">
        <f t="shared" si="14"/>
        <v>6.0338983050847457</v>
      </c>
      <c r="AU23" s="69">
        <f t="shared" si="15"/>
        <v>28.91</v>
      </c>
      <c r="AV23" s="64">
        <f t="shared" si="16"/>
        <v>6.1570390868211691</v>
      </c>
      <c r="AW23" s="69">
        <f t="shared" si="17"/>
        <v>28.024999999999999</v>
      </c>
      <c r="AX23" s="64">
        <f t="shared" si="18"/>
        <v>6.3514719000892059</v>
      </c>
      <c r="AY23" s="69">
        <f t="shared" si="19"/>
        <v>26.55</v>
      </c>
      <c r="AZ23" s="64">
        <f t="shared" si="20"/>
        <v>6.7043314500941618</v>
      </c>
      <c r="BA23" s="69">
        <f t="shared" si="21"/>
        <v>25.96</v>
      </c>
      <c r="BB23" s="64">
        <f t="shared" si="22"/>
        <v>6.8567026194144844</v>
      </c>
      <c r="BC23" s="69">
        <f t="shared" si="23"/>
        <v>25.074999999999999</v>
      </c>
      <c r="BD23" s="64">
        <f t="shared" si="24"/>
        <v>7.0987038883349953</v>
      </c>
      <c r="BE23" s="69">
        <f t="shared" si="25"/>
        <v>23.6</v>
      </c>
      <c r="BF23" s="64">
        <f t="shared" si="26"/>
        <v>7.5423728813559316</v>
      </c>
      <c r="BG23" s="69">
        <f t="shared" si="27"/>
        <v>20.65</v>
      </c>
      <c r="BH23" s="64">
        <f t="shared" si="28"/>
        <v>8.6198547215496379</v>
      </c>
      <c r="BI23" s="69">
        <f t="shared" si="29"/>
        <v>17.7</v>
      </c>
      <c r="BJ23" s="64">
        <f t="shared" si="30"/>
        <v>10.056497175141244</v>
      </c>
      <c r="BK23" s="69">
        <f t="shared" si="31"/>
        <v>14.75</v>
      </c>
      <c r="BL23" s="64">
        <f t="shared" si="32"/>
        <v>12.067796610169491</v>
      </c>
    </row>
    <row r="24" spans="2:64" x14ac:dyDescent="0.2">
      <c r="B24" s="107">
        <v>20</v>
      </c>
      <c r="C24" s="101" t="s">
        <v>19</v>
      </c>
      <c r="D24" s="45"/>
      <c r="E24" s="41">
        <f>0.5</f>
        <v>0.5</v>
      </c>
      <c r="F24" s="41">
        <f>0.5</f>
        <v>0.5</v>
      </c>
      <c r="G24" s="41">
        <f>1.5</f>
        <v>1.5</v>
      </c>
      <c r="H24" s="51">
        <f t="shared" si="3"/>
        <v>2.5</v>
      </c>
      <c r="I24" s="59">
        <f>1.87+1.92+5.08</f>
        <v>8.870000000000001</v>
      </c>
      <c r="J24" s="45"/>
      <c r="K24" s="41">
        <f>0.5</f>
        <v>0.5</v>
      </c>
      <c r="L24" s="41">
        <f>0.5</f>
        <v>0.5</v>
      </c>
      <c r="M24" s="41">
        <f>1.5</f>
        <v>1.5</v>
      </c>
      <c r="N24" s="51">
        <f t="shared" si="4"/>
        <v>2.5</v>
      </c>
      <c r="O24" s="56">
        <f>2.18+1.89+6.49</f>
        <v>10.56</v>
      </c>
      <c r="P24" s="45"/>
      <c r="Q24" s="41">
        <f>0.25</f>
        <v>0.25</v>
      </c>
      <c r="R24" s="41"/>
      <c r="S24" s="41">
        <f>0.5</f>
        <v>0.5</v>
      </c>
      <c r="T24" s="51">
        <f t="shared" si="5"/>
        <v>0.75</v>
      </c>
      <c r="U24" s="56">
        <f>1.17+2.4</f>
        <v>3.57</v>
      </c>
      <c r="V24" s="45"/>
      <c r="W24" s="41">
        <f>1.75</f>
        <v>1.75</v>
      </c>
      <c r="X24" s="41">
        <f>2.25</f>
        <v>2.25</v>
      </c>
      <c r="Y24" s="41">
        <f>3</f>
        <v>3</v>
      </c>
      <c r="Z24" s="51">
        <f t="shared" si="6"/>
        <v>7</v>
      </c>
      <c r="AA24" s="56">
        <f>4.96+7.83+10.81</f>
        <v>23.6</v>
      </c>
      <c r="AB24" s="45"/>
      <c r="AC24" s="41">
        <f>1.5</f>
        <v>1.5</v>
      </c>
      <c r="AD24" s="41">
        <f>1.5</f>
        <v>1.5</v>
      </c>
      <c r="AE24" s="41">
        <f>3</f>
        <v>3</v>
      </c>
      <c r="AF24" s="51">
        <f t="shared" si="7"/>
        <v>6</v>
      </c>
      <c r="AG24" s="59">
        <f>2.48+3.8+6.32</f>
        <v>12.6</v>
      </c>
      <c r="AH24" s="146">
        <f t="shared" si="8"/>
        <v>3.75</v>
      </c>
      <c r="AI24" s="147">
        <f t="shared" si="9"/>
        <v>11.84</v>
      </c>
      <c r="AJ24" s="91"/>
      <c r="AK24" s="96"/>
      <c r="AL24" s="133">
        <f t="shared" si="0"/>
        <v>33.333333333333329</v>
      </c>
      <c r="AM24" s="128">
        <f t="shared" si="1"/>
        <v>29.411764705882355</v>
      </c>
      <c r="AN24" s="110">
        <f>31.75</f>
        <v>31.75</v>
      </c>
      <c r="AO24" s="67">
        <f t="shared" si="2"/>
        <v>34.925000000000004</v>
      </c>
      <c r="AP24" s="62">
        <f t="shared" si="10"/>
        <v>10.737294201861129</v>
      </c>
      <c r="AQ24" s="69">
        <f t="shared" si="11"/>
        <v>33.337499999999999</v>
      </c>
      <c r="AR24" s="64">
        <f t="shared" si="12"/>
        <v>11.24859392575928</v>
      </c>
      <c r="AS24" s="69">
        <f t="shared" si="13"/>
        <v>31.75</v>
      </c>
      <c r="AT24" s="64">
        <f t="shared" si="14"/>
        <v>11.811023622047244</v>
      </c>
      <c r="AU24" s="69">
        <f t="shared" si="15"/>
        <v>31.114999999999998</v>
      </c>
      <c r="AV24" s="64">
        <f t="shared" si="16"/>
        <v>12.052064920456372</v>
      </c>
      <c r="AW24" s="69">
        <f t="shared" si="17"/>
        <v>30.162499999999998</v>
      </c>
      <c r="AX24" s="64">
        <f t="shared" si="18"/>
        <v>12.432656444260259</v>
      </c>
      <c r="AY24" s="69">
        <f t="shared" si="19"/>
        <v>28.574999999999999</v>
      </c>
      <c r="AZ24" s="64">
        <f t="shared" si="20"/>
        <v>13.123359580052494</v>
      </c>
      <c r="BA24" s="69">
        <f t="shared" si="21"/>
        <v>27.94</v>
      </c>
      <c r="BB24" s="64">
        <f t="shared" si="22"/>
        <v>13.421617752326412</v>
      </c>
      <c r="BC24" s="69">
        <f t="shared" si="23"/>
        <v>26.987500000000001</v>
      </c>
      <c r="BD24" s="64">
        <f t="shared" si="24"/>
        <v>13.895321908290875</v>
      </c>
      <c r="BE24" s="69">
        <f t="shared" si="25"/>
        <v>25.400000000000002</v>
      </c>
      <c r="BF24" s="64">
        <f t="shared" si="26"/>
        <v>14.763779527559054</v>
      </c>
      <c r="BG24" s="69">
        <f t="shared" si="27"/>
        <v>22.224999999999998</v>
      </c>
      <c r="BH24" s="64">
        <f t="shared" si="28"/>
        <v>16.872890888638921</v>
      </c>
      <c r="BI24" s="69">
        <f t="shared" si="29"/>
        <v>19.05</v>
      </c>
      <c r="BJ24" s="64">
        <f t="shared" si="30"/>
        <v>19.685039370078737</v>
      </c>
      <c r="BK24" s="69">
        <f t="shared" si="31"/>
        <v>15.875</v>
      </c>
      <c r="BL24" s="64">
        <f t="shared" si="32"/>
        <v>23.622047244094489</v>
      </c>
    </row>
    <row r="25" spans="2:64" x14ac:dyDescent="0.2">
      <c r="B25" s="61">
        <v>21</v>
      </c>
      <c r="C25" s="103" t="s">
        <v>174</v>
      </c>
      <c r="D25" s="45"/>
      <c r="E25" s="41">
        <f>2</f>
        <v>2</v>
      </c>
      <c r="F25" s="41"/>
      <c r="G25" s="41">
        <f>9.28</f>
        <v>9.2799999999999994</v>
      </c>
      <c r="H25" s="51">
        <f t="shared" si="3"/>
        <v>11.28</v>
      </c>
      <c r="I25" s="59">
        <f>1.58+6.82</f>
        <v>8.4</v>
      </c>
      <c r="J25" s="45"/>
      <c r="K25" s="41">
        <f>2</f>
        <v>2</v>
      </c>
      <c r="L25" s="41"/>
      <c r="M25" s="41">
        <f>8.44</f>
        <v>8.44</v>
      </c>
      <c r="N25" s="51">
        <f t="shared" si="4"/>
        <v>10.44</v>
      </c>
      <c r="O25" s="56">
        <f>1.86+7.44</f>
        <v>9.3000000000000007</v>
      </c>
      <c r="P25" s="45"/>
      <c r="Q25" s="41">
        <f>2.5</f>
        <v>2.5</v>
      </c>
      <c r="R25" s="41"/>
      <c r="S25" s="41">
        <f>7.84</f>
        <v>7.84</v>
      </c>
      <c r="T25" s="51">
        <f t="shared" si="5"/>
        <v>10.34</v>
      </c>
      <c r="U25" s="56">
        <f>2.19+7.4</f>
        <v>9.59</v>
      </c>
      <c r="V25" s="45"/>
      <c r="W25" s="41"/>
      <c r="X25" s="41">
        <f>1.5</f>
        <v>1.5</v>
      </c>
      <c r="Y25" s="41">
        <f>5.19</f>
        <v>5.19</v>
      </c>
      <c r="Z25" s="51">
        <f t="shared" si="6"/>
        <v>6.69</v>
      </c>
      <c r="AA25" s="56">
        <f>1.46+5.11</f>
        <v>6.57</v>
      </c>
      <c r="AB25" s="45"/>
      <c r="AC25" s="41">
        <f>1.43</f>
        <v>1.43</v>
      </c>
      <c r="AD25" s="41"/>
      <c r="AE25" s="41">
        <f>2.63</f>
        <v>2.63</v>
      </c>
      <c r="AF25" s="51">
        <f t="shared" si="7"/>
        <v>4.0599999999999996</v>
      </c>
      <c r="AG25" s="59">
        <f>1.38+1.96</f>
        <v>3.34</v>
      </c>
      <c r="AH25" s="146">
        <f>AVERAGE(H25,N25,T25,Z25,AF25)</f>
        <v>8.5620000000000012</v>
      </c>
      <c r="AI25" s="147">
        <f t="shared" si="9"/>
        <v>7.44</v>
      </c>
      <c r="AJ25" s="91">
        <f>132.9</f>
        <v>132.9</v>
      </c>
      <c r="AK25" s="96">
        <f t="shared" si="33"/>
        <v>8.4875846501128649</v>
      </c>
      <c r="AL25" s="104">
        <f t="shared" si="0"/>
        <v>150.4</v>
      </c>
      <c r="AM25" s="96">
        <f t="shared" si="1"/>
        <v>132.70588235294116</v>
      </c>
      <c r="AN25" s="110">
        <f>132</f>
        <v>132</v>
      </c>
      <c r="AO25" s="67">
        <f t="shared" si="2"/>
        <v>145.20000000000002</v>
      </c>
      <c r="AP25" s="62">
        <f>(AH25/AO25)*100</f>
        <v>5.8966942148760335</v>
      </c>
      <c r="AQ25" s="69">
        <f t="shared" si="11"/>
        <v>138.6</v>
      </c>
      <c r="AR25" s="64">
        <f t="shared" si="12"/>
        <v>6.1774891774891785</v>
      </c>
      <c r="AS25" s="69">
        <f t="shared" si="13"/>
        <v>132</v>
      </c>
      <c r="AT25" s="64">
        <f t="shared" si="14"/>
        <v>6.4863636363636372</v>
      </c>
      <c r="AU25" s="69">
        <f t="shared" si="15"/>
        <v>129.35999999999999</v>
      </c>
      <c r="AV25" s="64">
        <f t="shared" si="16"/>
        <v>6.6187384044526913</v>
      </c>
      <c r="AW25" s="69">
        <f t="shared" si="17"/>
        <v>125.39999999999999</v>
      </c>
      <c r="AX25" s="64">
        <f t="shared" si="18"/>
        <v>6.827751196172251</v>
      </c>
      <c r="AY25" s="69">
        <f t="shared" si="19"/>
        <v>118.8</v>
      </c>
      <c r="AZ25" s="64">
        <f t="shared" si="20"/>
        <v>7.2070707070707076</v>
      </c>
      <c r="BA25" s="69">
        <f t="shared" si="21"/>
        <v>116.16</v>
      </c>
      <c r="BB25" s="64">
        <f t="shared" si="22"/>
        <v>7.3708677685950423</v>
      </c>
      <c r="BC25" s="69">
        <f t="shared" si="23"/>
        <v>112.2</v>
      </c>
      <c r="BD25" s="64">
        <f t="shared" si="24"/>
        <v>7.6310160427807503</v>
      </c>
      <c r="BE25" s="69">
        <f t="shared" si="25"/>
        <v>105.60000000000001</v>
      </c>
      <c r="BF25" s="64">
        <f t="shared" si="26"/>
        <v>8.1079545454545467</v>
      </c>
      <c r="BG25" s="69">
        <f t="shared" si="27"/>
        <v>92.399999999999991</v>
      </c>
      <c r="BH25" s="64">
        <f t="shared" si="28"/>
        <v>9.2662337662337677</v>
      </c>
      <c r="BI25" s="69">
        <f t="shared" si="29"/>
        <v>79.2</v>
      </c>
      <c r="BJ25" s="64">
        <f t="shared" si="30"/>
        <v>10.810606060606062</v>
      </c>
      <c r="BK25" s="69">
        <f t="shared" si="31"/>
        <v>66</v>
      </c>
      <c r="BL25" s="64">
        <f t="shared" si="32"/>
        <v>12.972727272727274</v>
      </c>
    </row>
    <row r="26" spans="2:64" x14ac:dyDescent="0.2">
      <c r="B26" s="61">
        <v>22</v>
      </c>
      <c r="C26" s="101" t="s">
        <v>21</v>
      </c>
      <c r="D26" s="45"/>
      <c r="E26" s="41">
        <f>0.05</f>
        <v>0.05</v>
      </c>
      <c r="F26" s="41"/>
      <c r="G26" s="41">
        <f>0.08</f>
        <v>0.08</v>
      </c>
      <c r="H26" s="51">
        <f t="shared" si="3"/>
        <v>0.13</v>
      </c>
      <c r="I26" s="59">
        <f>3.45+5.56</f>
        <v>9.01</v>
      </c>
      <c r="J26" s="45"/>
      <c r="K26" s="41">
        <f>0.07</f>
        <v>7.0000000000000007E-2</v>
      </c>
      <c r="L26" s="41"/>
      <c r="M26" s="41">
        <f>0.08</f>
        <v>0.08</v>
      </c>
      <c r="N26" s="51">
        <f t="shared" si="4"/>
        <v>0.15000000000000002</v>
      </c>
      <c r="O26" s="56">
        <f>4.12+4.94</f>
        <v>9.06</v>
      </c>
      <c r="P26" s="45"/>
      <c r="Q26" s="41">
        <f>0.1</f>
        <v>0.1</v>
      </c>
      <c r="R26" s="41"/>
      <c r="S26" s="41">
        <f>0.1</f>
        <v>0.1</v>
      </c>
      <c r="T26" s="51">
        <f t="shared" si="5"/>
        <v>0.2</v>
      </c>
      <c r="U26" s="56">
        <f>5.05+5.78</f>
        <v>10.83</v>
      </c>
      <c r="V26" s="45"/>
      <c r="W26" s="41">
        <f>0.04</f>
        <v>0.04</v>
      </c>
      <c r="X26" s="41"/>
      <c r="Y26" s="41">
        <f>0.11</f>
        <v>0.11</v>
      </c>
      <c r="Z26" s="51">
        <f t="shared" si="6"/>
        <v>0.15</v>
      </c>
      <c r="AA26" s="56">
        <f>3.67+6.47</f>
        <v>10.14</v>
      </c>
      <c r="AB26" s="45"/>
      <c r="AC26" s="41">
        <f>0</f>
        <v>0</v>
      </c>
      <c r="AD26" s="41"/>
      <c r="AE26" s="41">
        <f>0.06</f>
        <v>0.06</v>
      </c>
      <c r="AF26" s="51">
        <f t="shared" si="7"/>
        <v>0.06</v>
      </c>
      <c r="AG26" s="59">
        <f>0+5.04</f>
        <v>5.04</v>
      </c>
      <c r="AH26" s="146">
        <f t="shared" si="8"/>
        <v>0.13799999999999998</v>
      </c>
      <c r="AI26" s="147">
        <f t="shared" si="9"/>
        <v>8.8159999999999989</v>
      </c>
      <c r="AJ26" s="91"/>
      <c r="AK26" s="96"/>
      <c r="AL26" s="91">
        <f t="shared" si="0"/>
        <v>1.7333333333333332</v>
      </c>
      <c r="AM26" s="96">
        <f t="shared" si="1"/>
        <v>1.5294117647058825</v>
      </c>
      <c r="AN26" s="110">
        <f>1.41</f>
        <v>1.41</v>
      </c>
      <c r="AO26" s="67">
        <f t="shared" si="2"/>
        <v>1.5509999999999999</v>
      </c>
      <c r="AP26" s="62">
        <f t="shared" si="10"/>
        <v>8.8974854932301728</v>
      </c>
      <c r="AQ26" s="69">
        <f t="shared" si="11"/>
        <v>1.4804999999999999</v>
      </c>
      <c r="AR26" s="64">
        <f t="shared" si="12"/>
        <v>9.3211752786220856</v>
      </c>
      <c r="AS26" s="69">
        <f t="shared" si="13"/>
        <v>1.41</v>
      </c>
      <c r="AT26" s="64">
        <f t="shared" si="14"/>
        <v>9.787234042553191</v>
      </c>
      <c r="AU26" s="69">
        <f t="shared" si="15"/>
        <v>1.3817999999999999</v>
      </c>
      <c r="AV26" s="64">
        <f t="shared" si="16"/>
        <v>9.986973512809378</v>
      </c>
      <c r="AW26" s="69">
        <f t="shared" si="17"/>
        <v>1.3394999999999999</v>
      </c>
      <c r="AX26" s="64">
        <f t="shared" si="18"/>
        <v>10.302351623740201</v>
      </c>
      <c r="AY26" s="69">
        <f t="shared" si="19"/>
        <v>1.2689999999999999</v>
      </c>
      <c r="AZ26" s="64">
        <f t="shared" si="20"/>
        <v>10.874704491725767</v>
      </c>
      <c r="BA26" s="69">
        <f t="shared" si="21"/>
        <v>1.2407999999999999</v>
      </c>
      <c r="BB26" s="64">
        <f t="shared" si="22"/>
        <v>11.121856866537717</v>
      </c>
      <c r="BC26" s="69">
        <f t="shared" si="23"/>
        <v>1.1984999999999999</v>
      </c>
      <c r="BD26" s="64">
        <f t="shared" si="24"/>
        <v>11.514392991239049</v>
      </c>
      <c r="BE26" s="69">
        <f t="shared" si="25"/>
        <v>1.1279999999999999</v>
      </c>
      <c r="BF26" s="64">
        <f t="shared" si="26"/>
        <v>12.23404255319149</v>
      </c>
      <c r="BG26" s="69">
        <f t="shared" si="27"/>
        <v>0.98699999999999988</v>
      </c>
      <c r="BH26" s="64">
        <f t="shared" si="28"/>
        <v>13.98176291793313</v>
      </c>
      <c r="BI26" s="69">
        <f t="shared" si="29"/>
        <v>0.84599999999999997</v>
      </c>
      <c r="BJ26" s="64">
        <f t="shared" si="30"/>
        <v>16.312056737588652</v>
      </c>
      <c r="BK26" s="69">
        <f t="shared" si="31"/>
        <v>0.70499999999999996</v>
      </c>
      <c r="BL26" s="64">
        <f t="shared" si="32"/>
        <v>19.574468085106382</v>
      </c>
    </row>
    <row r="27" spans="2:64" x14ac:dyDescent="0.2">
      <c r="B27" s="61">
        <v>23</v>
      </c>
      <c r="C27" s="101" t="s">
        <v>22</v>
      </c>
      <c r="D27" s="45"/>
      <c r="E27" s="41">
        <f>0.55</f>
        <v>0.55000000000000004</v>
      </c>
      <c r="F27" s="41"/>
      <c r="G27" s="41">
        <f>0.7</f>
        <v>0.7</v>
      </c>
      <c r="H27" s="51">
        <f t="shared" si="3"/>
        <v>1.25</v>
      </c>
      <c r="I27" s="59">
        <f>3.57+4.46</f>
        <v>8.0299999999999994</v>
      </c>
      <c r="J27" s="45"/>
      <c r="K27" s="41">
        <f>0.6</f>
        <v>0.6</v>
      </c>
      <c r="L27" s="41"/>
      <c r="M27" s="41">
        <f>0.85</f>
        <v>0.85</v>
      </c>
      <c r="N27" s="51">
        <f t="shared" si="4"/>
        <v>1.45</v>
      </c>
      <c r="O27" s="56">
        <f>3.43+5.63</f>
        <v>9.06</v>
      </c>
      <c r="P27" s="45"/>
      <c r="Q27" s="41">
        <f>0.7</f>
        <v>0.7</v>
      </c>
      <c r="R27" s="41"/>
      <c r="S27" s="41">
        <f>0.75</f>
        <v>0.75</v>
      </c>
      <c r="T27" s="51">
        <f t="shared" si="5"/>
        <v>1.45</v>
      </c>
      <c r="U27" s="56">
        <f>3.4+3.83</f>
        <v>7.23</v>
      </c>
      <c r="V27" s="45"/>
      <c r="W27" s="41">
        <f>0.7</f>
        <v>0.7</v>
      </c>
      <c r="X27" s="41"/>
      <c r="Y27" s="41">
        <f>0.75</f>
        <v>0.75</v>
      </c>
      <c r="Z27" s="51">
        <f t="shared" si="6"/>
        <v>1.45</v>
      </c>
      <c r="AA27" s="56">
        <f>3.57+3.59</f>
        <v>7.16</v>
      </c>
      <c r="AB27" s="45"/>
      <c r="AC27" s="41">
        <f>0.5</f>
        <v>0.5</v>
      </c>
      <c r="AD27" s="41"/>
      <c r="AE27" s="41">
        <f>0.75</f>
        <v>0.75</v>
      </c>
      <c r="AF27" s="51">
        <f t="shared" si="7"/>
        <v>1.25</v>
      </c>
      <c r="AG27" s="59">
        <f>2.43+3.39</f>
        <v>5.82</v>
      </c>
      <c r="AH27" s="146">
        <f t="shared" si="8"/>
        <v>1.37</v>
      </c>
      <c r="AI27" s="147">
        <f t="shared" si="9"/>
        <v>7.4599999999999991</v>
      </c>
      <c r="AJ27" s="91"/>
      <c r="AK27" s="96"/>
      <c r="AL27" s="91">
        <f t="shared" si="0"/>
        <v>16.666666666666664</v>
      </c>
      <c r="AM27" s="96">
        <f t="shared" si="1"/>
        <v>14.705882352941178</v>
      </c>
      <c r="AN27" s="110">
        <f>15.4</f>
        <v>15.4</v>
      </c>
      <c r="AO27" s="67">
        <f t="shared" si="2"/>
        <v>16.940000000000001</v>
      </c>
      <c r="AP27" s="62">
        <f t="shared" si="10"/>
        <v>8.0873671782762688</v>
      </c>
      <c r="AQ27" s="69">
        <f t="shared" si="11"/>
        <v>16.170000000000002</v>
      </c>
      <c r="AR27" s="64">
        <f t="shared" si="12"/>
        <v>8.4724799010513294</v>
      </c>
      <c r="AS27" s="69">
        <f t="shared" si="13"/>
        <v>15.4</v>
      </c>
      <c r="AT27" s="64">
        <f t="shared" si="14"/>
        <v>8.896103896103897</v>
      </c>
      <c r="AU27" s="69">
        <f t="shared" si="15"/>
        <v>15.092000000000001</v>
      </c>
      <c r="AV27" s="64">
        <f t="shared" si="16"/>
        <v>9.0776570368407103</v>
      </c>
      <c r="AW27" s="69">
        <f t="shared" si="17"/>
        <v>14.629999999999999</v>
      </c>
      <c r="AX27" s="64">
        <f t="shared" si="18"/>
        <v>9.3643198906356826</v>
      </c>
      <c r="AY27" s="69">
        <f t="shared" si="19"/>
        <v>13.860000000000001</v>
      </c>
      <c r="AZ27" s="64">
        <f t="shared" si="20"/>
        <v>9.8845598845598843</v>
      </c>
      <c r="BA27" s="69">
        <f t="shared" si="21"/>
        <v>13.552</v>
      </c>
      <c r="BB27" s="64">
        <f t="shared" si="22"/>
        <v>10.109208972845337</v>
      </c>
      <c r="BC27" s="69">
        <f t="shared" si="23"/>
        <v>13.09</v>
      </c>
      <c r="BD27" s="64">
        <f t="shared" si="24"/>
        <v>10.466004583651642</v>
      </c>
      <c r="BE27" s="69">
        <f t="shared" si="25"/>
        <v>12.32</v>
      </c>
      <c r="BF27" s="64">
        <f t="shared" si="26"/>
        <v>11.120129870129871</v>
      </c>
      <c r="BG27" s="69">
        <f t="shared" si="27"/>
        <v>10.78</v>
      </c>
      <c r="BH27" s="64">
        <f t="shared" si="28"/>
        <v>12.708719851576996</v>
      </c>
      <c r="BI27" s="69">
        <f t="shared" si="29"/>
        <v>9.24</v>
      </c>
      <c r="BJ27" s="64">
        <f t="shared" si="30"/>
        <v>14.826839826839826</v>
      </c>
      <c r="BK27" s="69">
        <f t="shared" si="31"/>
        <v>7.7</v>
      </c>
      <c r="BL27" s="64">
        <f t="shared" si="32"/>
        <v>17.792207792207794</v>
      </c>
    </row>
    <row r="28" spans="2:64" x14ac:dyDescent="0.2">
      <c r="B28" s="61">
        <v>24</v>
      </c>
      <c r="C28" s="101" t="s">
        <v>25</v>
      </c>
      <c r="D28" s="45"/>
      <c r="E28" s="41"/>
      <c r="F28" s="41">
        <f>0.8</f>
        <v>0.8</v>
      </c>
      <c r="G28" s="41">
        <f>0.2</f>
        <v>0.2</v>
      </c>
      <c r="H28" s="51">
        <f t="shared" si="3"/>
        <v>1</v>
      </c>
      <c r="I28" s="59">
        <f>5.84+1.6</f>
        <v>7.4399999999999995</v>
      </c>
      <c r="J28" s="45"/>
      <c r="K28" s="41">
        <f>0</f>
        <v>0</v>
      </c>
      <c r="L28" s="41"/>
      <c r="M28" s="41">
        <f>0.9</f>
        <v>0.9</v>
      </c>
      <c r="N28" s="51">
        <f t="shared" si="4"/>
        <v>0.9</v>
      </c>
      <c r="O28" s="56">
        <f>5.96</f>
        <v>5.96</v>
      </c>
      <c r="P28" s="45"/>
      <c r="Q28" s="41">
        <f>0.25</f>
        <v>0.25</v>
      </c>
      <c r="R28" s="41"/>
      <c r="S28" s="41">
        <f>1</f>
        <v>1</v>
      </c>
      <c r="T28" s="51">
        <f t="shared" si="5"/>
        <v>1.25</v>
      </c>
      <c r="U28" s="56">
        <f>1.47+6.29</f>
        <v>7.76</v>
      </c>
      <c r="V28" s="45"/>
      <c r="W28" s="41"/>
      <c r="X28" s="41">
        <f>0.25</f>
        <v>0.25</v>
      </c>
      <c r="Y28" s="41">
        <f>1</f>
        <v>1</v>
      </c>
      <c r="Z28" s="51">
        <f t="shared" si="6"/>
        <v>1.25</v>
      </c>
      <c r="AA28" s="56">
        <f>1.48+5.46</f>
        <v>6.9399999999999995</v>
      </c>
      <c r="AB28" s="45"/>
      <c r="AC28" s="41">
        <f>0.25</f>
        <v>0.25</v>
      </c>
      <c r="AD28" s="41"/>
      <c r="AE28" s="41">
        <f>0.8</f>
        <v>0.8</v>
      </c>
      <c r="AF28" s="51">
        <f t="shared" si="7"/>
        <v>1.05</v>
      </c>
      <c r="AG28" s="59">
        <f>1.4+0</f>
        <v>1.4</v>
      </c>
      <c r="AH28" s="146">
        <f t="shared" si="8"/>
        <v>1.0900000000000001</v>
      </c>
      <c r="AI28" s="147">
        <f t="shared" si="9"/>
        <v>5.8999999999999986</v>
      </c>
      <c r="AJ28" s="91"/>
      <c r="AK28" s="96"/>
      <c r="AL28" s="129">
        <f t="shared" si="0"/>
        <v>13.333333333333334</v>
      </c>
      <c r="AM28" s="128">
        <f t="shared" si="1"/>
        <v>11.76470588235294</v>
      </c>
      <c r="AN28" s="110">
        <v>13.8</v>
      </c>
      <c r="AO28" s="67">
        <f t="shared" si="2"/>
        <v>15.180000000000001</v>
      </c>
      <c r="AP28" s="62">
        <f t="shared" si="10"/>
        <v>7.1805006587615283</v>
      </c>
      <c r="AQ28" s="69">
        <f t="shared" si="11"/>
        <v>14.490000000000002</v>
      </c>
      <c r="AR28" s="64">
        <f t="shared" si="12"/>
        <v>7.5224292615596964</v>
      </c>
      <c r="AS28" s="69">
        <f t="shared" si="13"/>
        <v>13.8</v>
      </c>
      <c r="AT28" s="64">
        <f t="shared" si="14"/>
        <v>7.8985507246376816</v>
      </c>
      <c r="AU28" s="69">
        <f t="shared" si="15"/>
        <v>13.524000000000001</v>
      </c>
      <c r="AV28" s="64">
        <f t="shared" si="16"/>
        <v>8.0597456373853884</v>
      </c>
      <c r="AW28" s="69">
        <f t="shared" si="17"/>
        <v>13.11</v>
      </c>
      <c r="AX28" s="64">
        <f t="shared" si="18"/>
        <v>8.3142639206712445</v>
      </c>
      <c r="AY28" s="69">
        <f t="shared" si="19"/>
        <v>12.420000000000002</v>
      </c>
      <c r="AZ28" s="64">
        <f t="shared" si="20"/>
        <v>8.7761674718196456</v>
      </c>
      <c r="BA28" s="69">
        <f t="shared" si="21"/>
        <v>12.144</v>
      </c>
      <c r="BB28" s="64">
        <f t="shared" si="22"/>
        <v>8.9756258234519102</v>
      </c>
      <c r="BC28" s="69">
        <f t="shared" si="23"/>
        <v>11.73</v>
      </c>
      <c r="BD28" s="64">
        <f t="shared" si="24"/>
        <v>9.2924126172208013</v>
      </c>
      <c r="BE28" s="69">
        <f t="shared" si="25"/>
        <v>11.040000000000001</v>
      </c>
      <c r="BF28" s="64">
        <f t="shared" si="26"/>
        <v>9.8731884057971016</v>
      </c>
      <c r="BG28" s="69">
        <f t="shared" si="27"/>
        <v>9.66</v>
      </c>
      <c r="BH28" s="64">
        <f t="shared" si="28"/>
        <v>11.283643892339546</v>
      </c>
      <c r="BI28" s="69">
        <f t="shared" si="29"/>
        <v>8.2799999999999994</v>
      </c>
      <c r="BJ28" s="64">
        <f t="shared" si="30"/>
        <v>13.164251207729471</v>
      </c>
      <c r="BK28" s="69">
        <f t="shared" si="31"/>
        <v>6.9</v>
      </c>
      <c r="BL28" s="64">
        <f t="shared" si="32"/>
        <v>15.797101449275363</v>
      </c>
    </row>
    <row r="29" spans="2:64" x14ac:dyDescent="0.2">
      <c r="B29" s="61">
        <v>25</v>
      </c>
      <c r="C29" s="100" t="s">
        <v>26</v>
      </c>
      <c r="D29" s="45"/>
      <c r="E29" s="41">
        <f>1.3</f>
        <v>1.3</v>
      </c>
      <c r="F29" s="41">
        <f>1.3</f>
        <v>1.3</v>
      </c>
      <c r="G29" s="41">
        <f>2.2</f>
        <v>2.2000000000000002</v>
      </c>
      <c r="H29" s="51">
        <f t="shared" si="3"/>
        <v>4.8000000000000007</v>
      </c>
      <c r="I29" s="59">
        <f>2.6+2.6+0</f>
        <v>5.2</v>
      </c>
      <c r="J29" s="45"/>
      <c r="K29" s="41">
        <f>1.25</f>
        <v>1.25</v>
      </c>
      <c r="L29" s="41"/>
      <c r="M29" s="41">
        <f>2.05</f>
        <v>2.0499999999999998</v>
      </c>
      <c r="N29" s="51">
        <f t="shared" si="4"/>
        <v>3.3</v>
      </c>
      <c r="O29" s="56">
        <f>2.44+4.46</f>
        <v>6.9</v>
      </c>
      <c r="P29" s="45"/>
      <c r="Q29" s="41"/>
      <c r="R29" s="41">
        <f>1.2</f>
        <v>1.2</v>
      </c>
      <c r="S29" s="41">
        <f>2</f>
        <v>2</v>
      </c>
      <c r="T29" s="51">
        <f t="shared" si="5"/>
        <v>3.2</v>
      </c>
      <c r="U29" s="56">
        <f>2.41+4.1</f>
        <v>6.51</v>
      </c>
      <c r="V29" s="45"/>
      <c r="W29" s="41"/>
      <c r="X29" s="41">
        <f>1.2</f>
        <v>1.2</v>
      </c>
      <c r="Y29" s="41">
        <f>1.9</f>
        <v>1.9</v>
      </c>
      <c r="Z29" s="51">
        <f t="shared" si="6"/>
        <v>3.0999999999999996</v>
      </c>
      <c r="AA29" s="56">
        <f>3.16+4.42</f>
        <v>7.58</v>
      </c>
      <c r="AB29" s="45"/>
      <c r="AC29" s="41">
        <f>1.2</f>
        <v>1.2</v>
      </c>
      <c r="AD29" s="41"/>
      <c r="AE29" s="41">
        <f>1.8</f>
        <v>1.8</v>
      </c>
      <c r="AF29" s="51">
        <f t="shared" si="7"/>
        <v>3</v>
      </c>
      <c r="AG29" s="59">
        <f>3.45+4.44</f>
        <v>7.8900000000000006</v>
      </c>
      <c r="AH29" s="146">
        <f t="shared" si="8"/>
        <v>3.4799999999999995</v>
      </c>
      <c r="AI29" s="147">
        <f t="shared" si="9"/>
        <v>6.8159999999999998</v>
      </c>
      <c r="AJ29" s="91"/>
      <c r="AK29" s="96"/>
      <c r="AL29" s="91">
        <f t="shared" si="0"/>
        <v>64.000000000000014</v>
      </c>
      <c r="AM29" s="96">
        <f t="shared" si="1"/>
        <v>56.47058823529413</v>
      </c>
      <c r="AN29" s="110">
        <f>58.5</f>
        <v>58.5</v>
      </c>
      <c r="AO29" s="67">
        <f t="shared" si="2"/>
        <v>64.350000000000009</v>
      </c>
      <c r="AP29" s="62">
        <f t="shared" si="10"/>
        <v>5.407925407925406</v>
      </c>
      <c r="AQ29" s="69">
        <f t="shared" si="11"/>
        <v>61.425000000000004</v>
      </c>
      <c r="AR29" s="64">
        <f t="shared" si="12"/>
        <v>5.665445665445664</v>
      </c>
      <c r="AS29" s="69">
        <f t="shared" si="13"/>
        <v>58.5</v>
      </c>
      <c r="AT29" s="64">
        <f t="shared" si="14"/>
        <v>5.948717948717948</v>
      </c>
      <c r="AU29" s="69">
        <f t="shared" si="15"/>
        <v>57.33</v>
      </c>
      <c r="AV29" s="64">
        <f t="shared" si="16"/>
        <v>6.070120355834641</v>
      </c>
      <c r="AW29" s="69">
        <f t="shared" si="17"/>
        <v>55.574999999999996</v>
      </c>
      <c r="AX29" s="64">
        <f t="shared" si="18"/>
        <v>6.2618083670715254</v>
      </c>
      <c r="AY29" s="69">
        <f t="shared" si="19"/>
        <v>52.65</v>
      </c>
      <c r="AZ29" s="64">
        <f t="shared" si="20"/>
        <v>6.6096866096866087</v>
      </c>
      <c r="BA29" s="69">
        <f t="shared" si="21"/>
        <v>51.48</v>
      </c>
      <c r="BB29" s="64">
        <f t="shared" si="22"/>
        <v>6.7599067599067597</v>
      </c>
      <c r="BC29" s="69">
        <f t="shared" si="23"/>
        <v>49.725000000000001</v>
      </c>
      <c r="BD29" s="64">
        <f t="shared" si="24"/>
        <v>6.9984917043740564</v>
      </c>
      <c r="BE29" s="69">
        <f t="shared" si="25"/>
        <v>46.800000000000004</v>
      </c>
      <c r="BF29" s="64">
        <f t="shared" si="26"/>
        <v>7.4358974358974343</v>
      </c>
      <c r="BG29" s="69">
        <f t="shared" si="27"/>
        <v>40.949999999999996</v>
      </c>
      <c r="BH29" s="64">
        <f t="shared" si="28"/>
        <v>8.4981684981684982</v>
      </c>
      <c r="BI29" s="69">
        <f t="shared" si="29"/>
        <v>35.1</v>
      </c>
      <c r="BJ29" s="64">
        <f t="shared" si="30"/>
        <v>9.9145299145299131</v>
      </c>
      <c r="BK29" s="69">
        <f t="shared" si="31"/>
        <v>29.25</v>
      </c>
      <c r="BL29" s="64">
        <f t="shared" si="32"/>
        <v>11.897435897435896</v>
      </c>
    </row>
    <row r="30" spans="2:64" x14ac:dyDescent="0.2">
      <c r="B30" s="61">
        <v>26</v>
      </c>
      <c r="C30" s="101" t="s">
        <v>27</v>
      </c>
      <c r="D30" s="45"/>
      <c r="E30" s="41">
        <f>2</f>
        <v>2</v>
      </c>
      <c r="F30" s="41"/>
      <c r="G30" s="41">
        <f>5.75</f>
        <v>5.75</v>
      </c>
      <c r="H30" s="51">
        <f t="shared" si="3"/>
        <v>7.75</v>
      </c>
      <c r="I30" s="59">
        <f>2.01+5.16</f>
        <v>7.17</v>
      </c>
      <c r="J30" s="45"/>
      <c r="K30" s="41">
        <f>2</f>
        <v>2</v>
      </c>
      <c r="L30" s="41"/>
      <c r="M30" s="41">
        <f>5.75</f>
        <v>5.75</v>
      </c>
      <c r="N30" s="51">
        <f t="shared" si="4"/>
        <v>7.75</v>
      </c>
      <c r="O30" s="56">
        <f>2.07+5.96</f>
        <v>8.0299999999999994</v>
      </c>
      <c r="P30" s="45"/>
      <c r="Q30" s="41">
        <f>2</f>
        <v>2</v>
      </c>
      <c r="R30" s="41"/>
      <c r="S30" s="41">
        <f>5.75</f>
        <v>5.75</v>
      </c>
      <c r="T30" s="51">
        <f t="shared" si="5"/>
        <v>7.75</v>
      </c>
      <c r="U30" s="56">
        <f>1.99+6.07</f>
        <v>8.06</v>
      </c>
      <c r="V30" s="45"/>
      <c r="W30" s="41"/>
      <c r="X30" s="41"/>
      <c r="Y30" s="41">
        <f>7.75</f>
        <v>7.75</v>
      </c>
      <c r="Z30" s="51">
        <f t="shared" si="6"/>
        <v>7.75</v>
      </c>
      <c r="AA30" s="56">
        <f>8.45</f>
        <v>8.4499999999999993</v>
      </c>
      <c r="AB30" s="45"/>
      <c r="AC30" s="41"/>
      <c r="AD30" s="41"/>
      <c r="AE30" s="41">
        <f>7.15</f>
        <v>7.15</v>
      </c>
      <c r="AF30" s="51">
        <f t="shared" si="7"/>
        <v>7.15</v>
      </c>
      <c r="AG30" s="59">
        <f>7.88</f>
        <v>7.88</v>
      </c>
      <c r="AH30" s="146">
        <f t="shared" si="8"/>
        <v>7.63</v>
      </c>
      <c r="AI30" s="147">
        <f t="shared" si="9"/>
        <v>7.9179999999999993</v>
      </c>
      <c r="AJ30" s="91"/>
      <c r="AK30" s="96"/>
      <c r="AL30" s="129">
        <f t="shared" si="0"/>
        <v>103.33333333333334</v>
      </c>
      <c r="AM30" s="128">
        <f t="shared" si="1"/>
        <v>91.17647058823529</v>
      </c>
      <c r="AN30" s="110">
        <v>112</v>
      </c>
      <c r="AO30" s="67">
        <f t="shared" si="2"/>
        <v>123.20000000000002</v>
      </c>
      <c r="AP30" s="62">
        <f t="shared" si="10"/>
        <v>6.1931818181818175</v>
      </c>
      <c r="AQ30" s="69">
        <f t="shared" si="11"/>
        <v>117.60000000000001</v>
      </c>
      <c r="AR30" s="64">
        <f t="shared" si="12"/>
        <v>6.4880952380952372</v>
      </c>
      <c r="AS30" s="69">
        <f t="shared" si="13"/>
        <v>112</v>
      </c>
      <c r="AT30" s="64">
        <f t="shared" si="14"/>
        <v>6.8125000000000009</v>
      </c>
      <c r="AU30" s="69">
        <f t="shared" si="15"/>
        <v>109.75999999999999</v>
      </c>
      <c r="AV30" s="64">
        <f t="shared" si="16"/>
        <v>6.9515306122448983</v>
      </c>
      <c r="AW30" s="69">
        <f t="shared" si="17"/>
        <v>106.39999999999999</v>
      </c>
      <c r="AX30" s="64">
        <f t="shared" si="18"/>
        <v>7.1710526315789478</v>
      </c>
      <c r="AY30" s="69">
        <f t="shared" si="19"/>
        <v>100.8</v>
      </c>
      <c r="AZ30" s="64">
        <f t="shared" si="20"/>
        <v>7.5694444444444438</v>
      </c>
      <c r="BA30" s="69">
        <f t="shared" si="21"/>
        <v>98.56</v>
      </c>
      <c r="BB30" s="64">
        <f t="shared" si="22"/>
        <v>7.7414772727272725</v>
      </c>
      <c r="BC30" s="69">
        <f t="shared" si="23"/>
        <v>95.2</v>
      </c>
      <c r="BD30" s="64">
        <f t="shared" si="24"/>
        <v>8.0147058823529402</v>
      </c>
      <c r="BE30" s="69">
        <f t="shared" si="25"/>
        <v>89.600000000000009</v>
      </c>
      <c r="BF30" s="64">
        <f t="shared" si="26"/>
        <v>8.5156249999999982</v>
      </c>
      <c r="BG30" s="69">
        <f t="shared" si="27"/>
        <v>78.399999999999991</v>
      </c>
      <c r="BH30" s="64">
        <f t="shared" si="28"/>
        <v>9.7321428571428594</v>
      </c>
      <c r="BI30" s="69">
        <f t="shared" si="29"/>
        <v>67.2</v>
      </c>
      <c r="BJ30" s="64">
        <f t="shared" si="30"/>
        <v>11.354166666666666</v>
      </c>
      <c r="BK30" s="69">
        <f t="shared" si="31"/>
        <v>56</v>
      </c>
      <c r="BL30" s="64">
        <f t="shared" si="32"/>
        <v>13.625000000000002</v>
      </c>
    </row>
    <row r="31" spans="2:64" x14ac:dyDescent="0.2">
      <c r="B31" s="61">
        <v>27</v>
      </c>
      <c r="C31" s="100" t="s">
        <v>184</v>
      </c>
      <c r="D31" s="45"/>
      <c r="E31" s="41"/>
      <c r="F31" s="41"/>
      <c r="G31" s="41">
        <f>0.6</f>
        <v>0.6</v>
      </c>
      <c r="H31" s="51">
        <f t="shared" si="3"/>
        <v>0.6</v>
      </c>
      <c r="I31" s="59">
        <f>6</f>
        <v>6</v>
      </c>
      <c r="J31" s="45"/>
      <c r="K31" s="41"/>
      <c r="L31" s="41"/>
      <c r="M31" s="41">
        <f>0.5</f>
        <v>0.5</v>
      </c>
      <c r="N31" s="51">
        <f t="shared" si="4"/>
        <v>0.5</v>
      </c>
      <c r="O31" s="56">
        <f>4.31</f>
        <v>4.3099999999999996</v>
      </c>
      <c r="P31" s="45"/>
      <c r="Q31" s="41"/>
      <c r="R31" s="41"/>
      <c r="S31" s="41">
        <f>0.34</f>
        <v>0.34</v>
      </c>
      <c r="T31" s="51">
        <f t="shared" si="5"/>
        <v>0.34</v>
      </c>
      <c r="U31" s="56">
        <f>3.54</f>
        <v>3.54</v>
      </c>
      <c r="V31" s="45"/>
      <c r="W31" s="41"/>
      <c r="X31" s="41"/>
      <c r="Y31" s="41">
        <f>0.3</f>
        <v>0.3</v>
      </c>
      <c r="Z31" s="51">
        <f t="shared" si="6"/>
        <v>0.3</v>
      </c>
      <c r="AA31" s="56">
        <f>2.38</f>
        <v>2.38</v>
      </c>
      <c r="AB31" s="45"/>
      <c r="AC31" s="41"/>
      <c r="AD31" s="41"/>
      <c r="AE31" s="41"/>
      <c r="AF31" s="51">
        <f t="shared" si="7"/>
        <v>0</v>
      </c>
      <c r="AG31" s="59">
        <f>0</f>
        <v>0</v>
      </c>
      <c r="AH31" s="146">
        <f t="shared" si="8"/>
        <v>0.34800000000000003</v>
      </c>
      <c r="AI31" s="147">
        <f t="shared" si="9"/>
        <v>3.2459999999999996</v>
      </c>
      <c r="AJ31" s="91"/>
      <c r="AK31" s="96"/>
      <c r="AL31" s="91">
        <f t="shared" si="0"/>
        <v>8</v>
      </c>
      <c r="AM31" s="96">
        <f t="shared" si="1"/>
        <v>7.0588235294117645</v>
      </c>
      <c r="AN31" s="110">
        <f>10.3</f>
        <v>10.3</v>
      </c>
      <c r="AO31" s="67">
        <f t="shared" si="2"/>
        <v>11.330000000000002</v>
      </c>
      <c r="AP31" s="62">
        <f t="shared" si="10"/>
        <v>3.0714916151809355</v>
      </c>
      <c r="AQ31" s="69">
        <f t="shared" si="11"/>
        <v>10.815000000000001</v>
      </c>
      <c r="AR31" s="64">
        <f t="shared" si="12"/>
        <v>3.2177531206657424</v>
      </c>
      <c r="AS31" s="69">
        <f t="shared" si="13"/>
        <v>10.3</v>
      </c>
      <c r="AT31" s="64">
        <f t="shared" si="14"/>
        <v>3.3786407766990294</v>
      </c>
      <c r="AU31" s="69">
        <f t="shared" si="15"/>
        <v>10.094000000000001</v>
      </c>
      <c r="AV31" s="64">
        <f t="shared" si="16"/>
        <v>3.4475926292847237</v>
      </c>
      <c r="AW31" s="69">
        <f t="shared" si="17"/>
        <v>9.7850000000000001</v>
      </c>
      <c r="AX31" s="64">
        <f t="shared" si="18"/>
        <v>3.5564639754726626</v>
      </c>
      <c r="AY31" s="69">
        <f t="shared" si="19"/>
        <v>9.2700000000000014</v>
      </c>
      <c r="AZ31" s="64">
        <f t="shared" si="20"/>
        <v>3.7540453074433655</v>
      </c>
      <c r="BA31" s="69">
        <f t="shared" si="21"/>
        <v>9.0640000000000001</v>
      </c>
      <c r="BB31" s="64">
        <f t="shared" si="22"/>
        <v>3.8393645189761698</v>
      </c>
      <c r="BC31" s="69">
        <f t="shared" si="23"/>
        <v>8.7550000000000008</v>
      </c>
      <c r="BD31" s="64">
        <f t="shared" si="24"/>
        <v>3.9748715019988579</v>
      </c>
      <c r="BE31" s="69">
        <f t="shared" si="25"/>
        <v>8.24</v>
      </c>
      <c r="BF31" s="64">
        <f t="shared" si="26"/>
        <v>4.2233009708737868</v>
      </c>
      <c r="BG31" s="69">
        <f t="shared" si="27"/>
        <v>7.21</v>
      </c>
      <c r="BH31" s="64">
        <f t="shared" si="28"/>
        <v>4.8266296809986136</v>
      </c>
      <c r="BI31" s="69">
        <f t="shared" si="29"/>
        <v>6.1800000000000006</v>
      </c>
      <c r="BJ31" s="64">
        <f t="shared" si="30"/>
        <v>5.6310679611650478</v>
      </c>
      <c r="BK31" s="69">
        <f t="shared" si="31"/>
        <v>5.15</v>
      </c>
      <c r="BL31" s="64">
        <f t="shared" si="32"/>
        <v>6.7572815533980588</v>
      </c>
    </row>
    <row r="32" spans="2:64" x14ac:dyDescent="0.2">
      <c r="B32" s="61">
        <v>28</v>
      </c>
      <c r="C32" s="100" t="s">
        <v>185</v>
      </c>
      <c r="D32" s="45"/>
      <c r="E32" s="41">
        <f>0.8</f>
        <v>0.8</v>
      </c>
      <c r="F32" s="41"/>
      <c r="G32" s="41">
        <f>1</f>
        <v>1</v>
      </c>
      <c r="H32" s="51">
        <f t="shared" si="3"/>
        <v>1.8</v>
      </c>
      <c r="I32" s="59">
        <f>2.35+1.84</f>
        <v>4.1900000000000004</v>
      </c>
      <c r="J32" s="45"/>
      <c r="K32" s="41">
        <f>1.2</f>
        <v>1.2</v>
      </c>
      <c r="L32" s="41"/>
      <c r="M32" s="41">
        <f>0.7</f>
        <v>0.7</v>
      </c>
      <c r="N32" s="51">
        <f t="shared" si="4"/>
        <v>1.9</v>
      </c>
      <c r="O32" s="56">
        <f>2.33+2.97</f>
        <v>5.3000000000000007</v>
      </c>
      <c r="P32" s="45"/>
      <c r="Q32" s="41">
        <f>0.65</f>
        <v>0.65</v>
      </c>
      <c r="R32" s="41"/>
      <c r="S32" s="41">
        <f>2.75</f>
        <v>2.75</v>
      </c>
      <c r="T32" s="51">
        <f t="shared" si="5"/>
        <v>3.4</v>
      </c>
      <c r="U32" s="56">
        <f>1.34+5</f>
        <v>6.34</v>
      </c>
      <c r="V32" s="45"/>
      <c r="W32" s="41"/>
      <c r="X32" s="41">
        <f>2</f>
        <v>2</v>
      </c>
      <c r="Y32" s="41">
        <f>1.7</f>
        <v>1.7</v>
      </c>
      <c r="Z32" s="51">
        <f t="shared" si="6"/>
        <v>3.7</v>
      </c>
      <c r="AA32" s="56">
        <f>3.67+3.19</f>
        <v>6.8599999999999994</v>
      </c>
      <c r="AB32" s="45"/>
      <c r="AC32" s="41">
        <f>0.6</f>
        <v>0.6</v>
      </c>
      <c r="AD32" s="41"/>
      <c r="AE32" s="41">
        <f>2</f>
        <v>2</v>
      </c>
      <c r="AF32" s="51">
        <f t="shared" si="7"/>
        <v>2.6</v>
      </c>
      <c r="AG32" s="59">
        <f>1.21+3.81</f>
        <v>5.0199999999999996</v>
      </c>
      <c r="AH32" s="146">
        <f t="shared" si="8"/>
        <v>2.68</v>
      </c>
      <c r="AI32" s="147">
        <f t="shared" si="9"/>
        <v>5.5419999999999998</v>
      </c>
      <c r="AJ32" s="91"/>
      <c r="AK32" s="96"/>
      <c r="AL32" s="91">
        <f t="shared" si="0"/>
        <v>24.000000000000004</v>
      </c>
      <c r="AM32" s="96">
        <f t="shared" si="1"/>
        <v>21.176470588235293</v>
      </c>
      <c r="AN32" s="110">
        <f>46.25</f>
        <v>46.25</v>
      </c>
      <c r="AO32" s="67">
        <f t="shared" si="2"/>
        <v>50.875000000000007</v>
      </c>
      <c r="AP32" s="62">
        <f t="shared" si="10"/>
        <v>5.267813267813267</v>
      </c>
      <c r="AQ32" s="69">
        <f t="shared" si="11"/>
        <v>48.5625</v>
      </c>
      <c r="AR32" s="64">
        <f t="shared" si="12"/>
        <v>5.5186615186615189</v>
      </c>
      <c r="AS32" s="69">
        <f t="shared" si="13"/>
        <v>46.25</v>
      </c>
      <c r="AT32" s="64">
        <f t="shared" si="14"/>
        <v>5.7945945945945949</v>
      </c>
      <c r="AU32" s="69">
        <f t="shared" si="15"/>
        <v>45.324999999999996</v>
      </c>
      <c r="AV32" s="64">
        <f t="shared" si="16"/>
        <v>5.9128516271373419</v>
      </c>
      <c r="AW32" s="69">
        <f t="shared" si="17"/>
        <v>43.9375</v>
      </c>
      <c r="AX32" s="64">
        <f t="shared" si="18"/>
        <v>6.0995732574679948</v>
      </c>
      <c r="AY32" s="69">
        <f t="shared" si="19"/>
        <v>41.625</v>
      </c>
      <c r="AZ32" s="64">
        <f t="shared" si="20"/>
        <v>6.438438438438439</v>
      </c>
      <c r="BA32" s="69">
        <f t="shared" si="21"/>
        <v>40.700000000000003</v>
      </c>
      <c r="BB32" s="64">
        <f t="shared" si="22"/>
        <v>6.5847665847665855</v>
      </c>
      <c r="BC32" s="69">
        <f t="shared" si="23"/>
        <v>39.3125</v>
      </c>
      <c r="BD32" s="64">
        <f t="shared" si="24"/>
        <v>6.8171701112877585</v>
      </c>
      <c r="BE32" s="69">
        <f t="shared" si="25"/>
        <v>37</v>
      </c>
      <c r="BF32" s="64">
        <f t="shared" si="26"/>
        <v>7.2432432432432439</v>
      </c>
      <c r="BG32" s="69">
        <f t="shared" si="27"/>
        <v>32.375</v>
      </c>
      <c r="BH32" s="64">
        <f t="shared" si="28"/>
        <v>8.2779922779922792</v>
      </c>
      <c r="BI32" s="69">
        <f t="shared" si="29"/>
        <v>27.75</v>
      </c>
      <c r="BJ32" s="64">
        <f t="shared" si="30"/>
        <v>9.6576576576576567</v>
      </c>
      <c r="BK32" s="69">
        <f t="shared" si="31"/>
        <v>23.125</v>
      </c>
      <c r="BL32" s="64">
        <f t="shared" si="32"/>
        <v>11.58918918918919</v>
      </c>
    </row>
    <row r="33" spans="2:64" x14ac:dyDescent="0.2">
      <c r="B33" s="61">
        <v>29</v>
      </c>
      <c r="C33" s="100" t="s">
        <v>28</v>
      </c>
      <c r="D33" s="45"/>
      <c r="E33" s="41">
        <f>0.066</f>
        <v>6.6000000000000003E-2</v>
      </c>
      <c r="F33" s="41">
        <f>0.06</f>
        <v>0.06</v>
      </c>
      <c r="G33" s="41">
        <f>0.071</f>
        <v>7.0999999999999994E-2</v>
      </c>
      <c r="H33" s="51">
        <f t="shared" si="3"/>
        <v>0.19700000000000001</v>
      </c>
      <c r="I33" s="59">
        <f>3.57+3.24+3.26</f>
        <v>10.07</v>
      </c>
      <c r="J33" s="45"/>
      <c r="K33" s="41">
        <f>0.065</f>
        <v>6.5000000000000002E-2</v>
      </c>
      <c r="L33" s="41">
        <f>0.06</f>
        <v>0.06</v>
      </c>
      <c r="M33" s="41">
        <f>0.06</f>
        <v>0.06</v>
      </c>
      <c r="N33" s="51">
        <f t="shared" si="4"/>
        <v>0.185</v>
      </c>
      <c r="O33" s="56">
        <f>3.46+3.19+3.39</f>
        <v>10.040000000000001</v>
      </c>
      <c r="P33" s="45"/>
      <c r="Q33" s="41">
        <f>0.05</f>
        <v>0.05</v>
      </c>
      <c r="R33" s="41"/>
      <c r="S33" s="41">
        <f>0.055</f>
        <v>5.5E-2</v>
      </c>
      <c r="T33" s="51">
        <f t="shared" si="5"/>
        <v>0.10500000000000001</v>
      </c>
      <c r="U33" s="56">
        <f>2.98+3.13</f>
        <v>6.1099999999999994</v>
      </c>
      <c r="V33" s="45"/>
      <c r="W33" s="41">
        <f>0.02</f>
        <v>0.02</v>
      </c>
      <c r="X33" s="41"/>
      <c r="Y33" s="41">
        <f>0.053</f>
        <v>5.2999999999999999E-2</v>
      </c>
      <c r="Z33" s="51">
        <f t="shared" si="6"/>
        <v>7.2999999999999995E-2</v>
      </c>
      <c r="AA33" s="56">
        <f>1.59+3.79</f>
        <v>5.38</v>
      </c>
      <c r="AB33" s="45"/>
      <c r="AC33" s="41"/>
      <c r="AD33" s="41"/>
      <c r="AE33" s="41">
        <f>0.038</f>
        <v>3.7999999999999999E-2</v>
      </c>
      <c r="AF33" s="51">
        <f t="shared" si="7"/>
        <v>3.7999999999999999E-2</v>
      </c>
      <c r="AG33" s="59">
        <f>2.95</f>
        <v>2.95</v>
      </c>
      <c r="AH33" s="146">
        <f t="shared" si="8"/>
        <v>0.1196</v>
      </c>
      <c r="AI33" s="147">
        <f t="shared" si="9"/>
        <v>6.9099999999999993</v>
      </c>
      <c r="AJ33" s="91"/>
      <c r="AK33" s="96"/>
      <c r="AL33" s="91">
        <f t="shared" si="0"/>
        <v>2.6266666666666669</v>
      </c>
      <c r="AM33" s="96">
        <f t="shared" si="1"/>
        <v>2.3176470588235296</v>
      </c>
      <c r="AN33" s="110">
        <f>2.26</f>
        <v>2.2599999999999998</v>
      </c>
      <c r="AO33" s="67">
        <f t="shared" si="2"/>
        <v>2.4859999999999998</v>
      </c>
      <c r="AP33" s="62">
        <f t="shared" si="10"/>
        <v>4.8109412711182626</v>
      </c>
      <c r="AQ33" s="69">
        <f t="shared" si="11"/>
        <v>2.3729999999999998</v>
      </c>
      <c r="AR33" s="64">
        <f t="shared" si="12"/>
        <v>5.0400337126000849</v>
      </c>
      <c r="AS33" s="69">
        <f t="shared" si="13"/>
        <v>2.2599999999999998</v>
      </c>
      <c r="AT33" s="64">
        <f t="shared" si="14"/>
        <v>5.2920353982300892</v>
      </c>
      <c r="AU33" s="69">
        <f t="shared" si="15"/>
        <v>2.2147999999999999</v>
      </c>
      <c r="AV33" s="64">
        <f t="shared" si="16"/>
        <v>5.4000361206429472</v>
      </c>
      <c r="AW33" s="69">
        <f t="shared" si="17"/>
        <v>2.1469999999999998</v>
      </c>
      <c r="AX33" s="64">
        <f t="shared" si="18"/>
        <v>5.5705635770843038</v>
      </c>
      <c r="AY33" s="69">
        <f t="shared" si="19"/>
        <v>2.0339999999999998</v>
      </c>
      <c r="AZ33" s="64">
        <f t="shared" si="20"/>
        <v>5.8800393313667652</v>
      </c>
      <c r="BA33" s="69">
        <f t="shared" si="21"/>
        <v>1.9887999999999999</v>
      </c>
      <c r="BB33" s="64">
        <f t="shared" si="22"/>
        <v>6.0136765888978285</v>
      </c>
      <c r="BC33" s="69">
        <f t="shared" si="23"/>
        <v>1.9209999999999998</v>
      </c>
      <c r="BD33" s="64">
        <f t="shared" si="24"/>
        <v>6.2259239979177519</v>
      </c>
      <c r="BE33" s="69">
        <f t="shared" si="25"/>
        <v>1.8079999999999998</v>
      </c>
      <c r="BF33" s="64">
        <f t="shared" si="26"/>
        <v>6.6150442477876119</v>
      </c>
      <c r="BG33" s="69">
        <f t="shared" si="27"/>
        <v>1.5819999999999999</v>
      </c>
      <c r="BH33" s="64">
        <f t="shared" si="28"/>
        <v>7.5600505689001274</v>
      </c>
      <c r="BI33" s="69">
        <f t="shared" si="29"/>
        <v>1.3559999999999999</v>
      </c>
      <c r="BJ33" s="64">
        <f t="shared" si="30"/>
        <v>8.8200589970501486</v>
      </c>
      <c r="BK33" s="69">
        <f t="shared" si="31"/>
        <v>1.1299999999999999</v>
      </c>
      <c r="BL33" s="64">
        <f t="shared" si="32"/>
        <v>10.584070796460178</v>
      </c>
    </row>
    <row r="34" spans="2:64" ht="17" thickBot="1" x14ac:dyDescent="0.25">
      <c r="B34" s="61">
        <v>30</v>
      </c>
      <c r="C34" s="100" t="s">
        <v>30</v>
      </c>
      <c r="D34" s="46"/>
      <c r="E34" s="47"/>
      <c r="F34" s="47">
        <f>0.0669</f>
        <v>6.6900000000000001E-2</v>
      </c>
      <c r="G34" s="47">
        <f>0.1438</f>
        <v>0.14380000000000001</v>
      </c>
      <c r="H34" s="52">
        <f t="shared" si="3"/>
        <v>0.2107</v>
      </c>
      <c r="I34" s="60">
        <f>2.05+3.17</f>
        <v>5.22</v>
      </c>
      <c r="J34" s="46"/>
      <c r="K34" s="47"/>
      <c r="L34" s="47">
        <f>0.0669</f>
        <v>6.6900000000000001E-2</v>
      </c>
      <c r="M34" s="47">
        <f>0.12</f>
        <v>0.12</v>
      </c>
      <c r="N34" s="52">
        <f t="shared" si="4"/>
        <v>0.18690000000000001</v>
      </c>
      <c r="O34" s="57">
        <f>1.19+3.85</f>
        <v>5.04</v>
      </c>
      <c r="P34" s="46"/>
      <c r="Q34" s="47"/>
      <c r="R34" s="47">
        <f>0.0669</f>
        <v>6.6900000000000001E-2</v>
      </c>
      <c r="S34" s="47">
        <f>0.117</f>
        <v>0.11700000000000001</v>
      </c>
      <c r="T34" s="52">
        <f t="shared" si="5"/>
        <v>0.18390000000000001</v>
      </c>
      <c r="U34" s="57">
        <f>1.35+2.34</f>
        <v>3.69</v>
      </c>
      <c r="V34" s="46"/>
      <c r="W34" s="47"/>
      <c r="X34" s="47">
        <f>0.0669</f>
        <v>6.6900000000000001E-2</v>
      </c>
      <c r="Y34" s="47">
        <f>0.1003</f>
        <v>0.1003</v>
      </c>
      <c r="Z34" s="52">
        <f t="shared" si="6"/>
        <v>0.16720000000000002</v>
      </c>
      <c r="AA34" s="57">
        <f>1.81+2.26</f>
        <v>4.07</v>
      </c>
      <c r="AB34" s="46"/>
      <c r="AC34" s="47"/>
      <c r="AD34" s="47">
        <f>0.0267</f>
        <v>2.6700000000000002E-2</v>
      </c>
      <c r="AE34" s="47">
        <f>0.0735</f>
        <v>7.3499999999999996E-2</v>
      </c>
      <c r="AF34" s="52">
        <f t="shared" si="7"/>
        <v>0.1002</v>
      </c>
      <c r="AG34" s="60">
        <f>0.73+2.31</f>
        <v>3.04</v>
      </c>
      <c r="AH34" s="148">
        <f t="shared" si="8"/>
        <v>0.16977999999999999</v>
      </c>
      <c r="AI34" s="149">
        <f t="shared" si="9"/>
        <v>4.2119999999999997</v>
      </c>
      <c r="AJ34" s="91"/>
      <c r="AK34" s="96"/>
      <c r="AL34" s="91">
        <f t="shared" si="0"/>
        <v>2.8093333333333335</v>
      </c>
      <c r="AM34" s="96">
        <f t="shared" si="1"/>
        <v>2.4788235294117644</v>
      </c>
      <c r="AN34" s="110">
        <f>4.66</f>
        <v>4.66</v>
      </c>
      <c r="AO34" s="68">
        <f t="shared" si="2"/>
        <v>5.1260000000000003</v>
      </c>
      <c r="AP34" s="63">
        <f t="shared" si="10"/>
        <v>3.3121342177136164</v>
      </c>
      <c r="AQ34" s="70">
        <f t="shared" si="11"/>
        <v>4.8930000000000007</v>
      </c>
      <c r="AR34" s="65">
        <f t="shared" si="12"/>
        <v>3.4698548947475976</v>
      </c>
      <c r="AS34" s="70">
        <f t="shared" si="13"/>
        <v>4.66</v>
      </c>
      <c r="AT34" s="65">
        <f t="shared" si="14"/>
        <v>3.6433476394849782</v>
      </c>
      <c r="AU34" s="70">
        <f t="shared" si="15"/>
        <v>4.5667999999999997</v>
      </c>
      <c r="AV34" s="65">
        <f t="shared" si="16"/>
        <v>3.7177016729438557</v>
      </c>
      <c r="AW34" s="70">
        <f t="shared" si="17"/>
        <v>4.4269999999999996</v>
      </c>
      <c r="AX34" s="65">
        <f t="shared" si="18"/>
        <v>3.8351027784052407</v>
      </c>
      <c r="AY34" s="70">
        <f t="shared" si="19"/>
        <v>4.194</v>
      </c>
      <c r="AZ34" s="65">
        <f t="shared" si="20"/>
        <v>4.0481640438721982</v>
      </c>
      <c r="BA34" s="70">
        <f t="shared" si="21"/>
        <v>4.1008000000000004</v>
      </c>
      <c r="BB34" s="65">
        <f t="shared" si="22"/>
        <v>4.1401677721420205</v>
      </c>
      <c r="BC34" s="70">
        <f t="shared" si="23"/>
        <v>3.9609999999999999</v>
      </c>
      <c r="BD34" s="65">
        <f t="shared" si="24"/>
        <v>4.2862913405705632</v>
      </c>
      <c r="BE34" s="70">
        <f t="shared" si="25"/>
        <v>3.7280000000000002</v>
      </c>
      <c r="BF34" s="65">
        <f t="shared" si="26"/>
        <v>4.5541845493562221</v>
      </c>
      <c r="BG34" s="70">
        <f t="shared" si="27"/>
        <v>3.262</v>
      </c>
      <c r="BH34" s="65">
        <f t="shared" si="28"/>
        <v>5.2047823421213977</v>
      </c>
      <c r="BI34" s="70">
        <f t="shared" si="29"/>
        <v>2.7959999999999998</v>
      </c>
      <c r="BJ34" s="65">
        <f t="shared" si="30"/>
        <v>6.0722460658082973</v>
      </c>
      <c r="BK34" s="70">
        <f t="shared" si="31"/>
        <v>2.33</v>
      </c>
      <c r="BL34" s="65">
        <f t="shared" si="32"/>
        <v>7.2866952789699564</v>
      </c>
    </row>
    <row r="35" spans="2:64" ht="17" thickBot="1" x14ac:dyDescent="0.25"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J35" s="91"/>
      <c r="AK35" s="96"/>
      <c r="AL35" s="91">
        <f t="shared" si="0"/>
        <v>0</v>
      </c>
      <c r="AM35" s="96">
        <f t="shared" si="1"/>
        <v>0</v>
      </c>
      <c r="AN35" s="3"/>
      <c r="AO35" s="83"/>
      <c r="AP35" s="84"/>
      <c r="AQ35" s="85"/>
      <c r="AR35" s="86"/>
      <c r="AS35" s="85"/>
      <c r="AT35" s="86"/>
      <c r="AU35" s="85"/>
      <c r="AV35" s="86"/>
      <c r="AW35" s="85"/>
      <c r="AX35" s="86"/>
      <c r="AY35" s="85"/>
      <c r="AZ35" s="86"/>
      <c r="BA35" s="85"/>
      <c r="BB35" s="86"/>
      <c r="BC35" s="85"/>
      <c r="BD35" s="86"/>
      <c r="BE35" s="85"/>
      <c r="BF35" s="86"/>
      <c r="BG35" s="85"/>
      <c r="BH35" s="86"/>
      <c r="BI35" s="85"/>
      <c r="BJ35" s="86"/>
      <c r="BK35" s="85"/>
      <c r="BL35" s="86"/>
    </row>
    <row r="36" spans="2:64" x14ac:dyDescent="0.2">
      <c r="B36" s="61">
        <v>31</v>
      </c>
      <c r="C36" s="103" t="s">
        <v>203</v>
      </c>
      <c r="D36" s="48"/>
      <c r="E36" s="49">
        <f>0.35</f>
        <v>0.35</v>
      </c>
      <c r="F36" s="49"/>
      <c r="G36" s="49">
        <f>0.65</f>
        <v>0.65</v>
      </c>
      <c r="H36" s="80">
        <f t="shared" ref="H36:H40" si="34">SUM(D36:G36)</f>
        <v>1</v>
      </c>
      <c r="I36" s="82">
        <f>1.69+3.48</f>
        <v>5.17</v>
      </c>
      <c r="J36" s="48"/>
      <c r="K36" s="49">
        <f>0.35</f>
        <v>0.35</v>
      </c>
      <c r="L36" s="49"/>
      <c r="M36" s="49">
        <f>0.4</f>
        <v>0.4</v>
      </c>
      <c r="N36" s="80">
        <f t="shared" ref="N36:N40" si="35">SUM(J36:M36)</f>
        <v>0.75</v>
      </c>
      <c r="O36" s="81">
        <f>1.18+1.69</f>
        <v>2.87</v>
      </c>
      <c r="P36" s="48"/>
      <c r="Q36" s="49">
        <f>0.35</f>
        <v>0.35</v>
      </c>
      <c r="R36" s="49"/>
      <c r="S36" s="49">
        <f>0.35</f>
        <v>0.35</v>
      </c>
      <c r="T36" s="80">
        <f t="shared" ref="T36:T40" si="36">SUM(P36:S36)</f>
        <v>0.7</v>
      </c>
      <c r="U36" s="81">
        <f>1.3+1.2</f>
        <v>2.5</v>
      </c>
      <c r="V36" s="48"/>
      <c r="W36" s="49">
        <f>0.3</f>
        <v>0.3</v>
      </c>
      <c r="X36" s="49"/>
      <c r="Y36" s="49">
        <f>0.3</f>
        <v>0.3</v>
      </c>
      <c r="Z36" s="80">
        <f t="shared" ref="Z36:Z40" si="37">SUM(V36:Y36)</f>
        <v>0.6</v>
      </c>
      <c r="AA36" s="81">
        <f>1.02+1.07</f>
        <v>2.09</v>
      </c>
      <c r="AB36" s="48"/>
      <c r="AC36" s="49">
        <f>0.25</f>
        <v>0.25</v>
      </c>
      <c r="AD36" s="49"/>
      <c r="AE36" s="49">
        <f>0.2</f>
        <v>0.2</v>
      </c>
      <c r="AF36" s="80">
        <f t="shared" ref="AF36:AF40" si="38">SUM(AB36:AE36)</f>
        <v>0.45</v>
      </c>
      <c r="AG36" s="82">
        <f>1.1+0.81</f>
        <v>1.9100000000000001</v>
      </c>
      <c r="AH36" s="144">
        <f t="shared" ref="AH36:AH40" si="39">AVERAGE(H36,N36,T36,Z36,AF36)</f>
        <v>0.70000000000000007</v>
      </c>
      <c r="AI36" s="145">
        <f t="shared" ref="AI36:AI40" si="40">AVERAGE(I36,O36,U36,AA36,AG36)</f>
        <v>2.9079999999999999</v>
      </c>
      <c r="AJ36" s="91">
        <f>18.86</f>
        <v>18.86</v>
      </c>
      <c r="AK36" s="96">
        <f t="shared" si="33"/>
        <v>5.3022269353128317</v>
      </c>
      <c r="AL36" s="104">
        <f t="shared" si="0"/>
        <v>13.333333333333334</v>
      </c>
      <c r="AM36" s="96">
        <f t="shared" si="1"/>
        <v>11.76470588235294</v>
      </c>
      <c r="AN36" s="110">
        <f>18.4</f>
        <v>18.399999999999999</v>
      </c>
      <c r="AO36" s="66">
        <f>AN36*$AO$4</f>
        <v>20.239999999999998</v>
      </c>
      <c r="AP36" s="87">
        <f>(AH36/AO36)*100</f>
        <v>3.4584980237154159</v>
      </c>
      <c r="AQ36" s="88">
        <f>AN36*$AQ$4</f>
        <v>19.32</v>
      </c>
      <c r="AR36" s="89">
        <f>(AH36/AQ36)*100</f>
        <v>3.6231884057971016</v>
      </c>
      <c r="AS36" s="88">
        <f>AN36*$AS$4</f>
        <v>18.399999999999999</v>
      </c>
      <c r="AT36" s="89">
        <f>(AH36/AS36)*100</f>
        <v>3.8043478260869574</v>
      </c>
      <c r="AU36" s="88">
        <f>AN36*$AU$4</f>
        <v>18.032</v>
      </c>
      <c r="AV36" s="89">
        <f>(AH36/AU36)*100</f>
        <v>3.8819875776397521</v>
      </c>
      <c r="AW36" s="88">
        <f>AN36*$AW$4</f>
        <v>17.479999999999997</v>
      </c>
      <c r="AX36" s="89">
        <f>(AH36/AW36)*100</f>
        <v>4.0045766590389027</v>
      </c>
      <c r="AY36" s="88">
        <f>AN36*$AY$4</f>
        <v>16.559999999999999</v>
      </c>
      <c r="AZ36" s="89">
        <f>(AH36/AY36)*100</f>
        <v>4.2270531400966194</v>
      </c>
      <c r="BA36" s="88">
        <f>AN36*$BA$4</f>
        <v>16.192</v>
      </c>
      <c r="BB36" s="89">
        <f>(AH36/BA36)*100</f>
        <v>4.3231225296442686</v>
      </c>
      <c r="BC36" s="88">
        <f>AN36*$BC$4</f>
        <v>15.639999999999999</v>
      </c>
      <c r="BD36" s="89">
        <f>(AH36/BC36)*100</f>
        <v>4.475703324808185</v>
      </c>
      <c r="BE36" s="88">
        <f>AN36*$BE$4</f>
        <v>14.719999999999999</v>
      </c>
      <c r="BF36" s="89">
        <f>(AH36/BE36)*100</f>
        <v>4.7554347826086962</v>
      </c>
      <c r="BG36" s="88">
        <f>AN36*$BG$4</f>
        <v>12.879999999999999</v>
      </c>
      <c r="BH36" s="89">
        <f>(AH36/BG36)*100</f>
        <v>5.4347826086956532</v>
      </c>
      <c r="BI36" s="88">
        <f>AN36*$BI$4</f>
        <v>11.04</v>
      </c>
      <c r="BJ36" s="89">
        <f>(AH36/BI36)*100</f>
        <v>6.3405797101449277</v>
      </c>
      <c r="BK36" s="88">
        <f>AN36*$BK$4</f>
        <v>9.1999999999999993</v>
      </c>
      <c r="BL36" s="89">
        <f>(AH36/BK36)*100</f>
        <v>7.6086956521739149</v>
      </c>
    </row>
    <row r="37" spans="2:64" x14ac:dyDescent="0.2">
      <c r="B37" s="61">
        <v>32</v>
      </c>
      <c r="C37" s="103" t="s">
        <v>204</v>
      </c>
      <c r="D37" s="45"/>
      <c r="E37" s="41"/>
      <c r="F37" s="41"/>
      <c r="G37" s="41">
        <f>0.15</f>
        <v>0.15</v>
      </c>
      <c r="H37" s="51">
        <f t="shared" si="34"/>
        <v>0.15</v>
      </c>
      <c r="I37" s="59">
        <f>2.78</f>
        <v>2.78</v>
      </c>
      <c r="J37" s="45"/>
      <c r="K37" s="41"/>
      <c r="L37" s="41"/>
      <c r="M37" s="41">
        <f>0.15</f>
        <v>0.15</v>
      </c>
      <c r="N37" s="51">
        <f t="shared" si="35"/>
        <v>0.15</v>
      </c>
      <c r="O37" s="56">
        <f>2.54</f>
        <v>2.54</v>
      </c>
      <c r="P37" s="45"/>
      <c r="Q37" s="41"/>
      <c r="R37" s="41"/>
      <c r="S37" s="41">
        <f>0.14</f>
        <v>0.14000000000000001</v>
      </c>
      <c r="T37" s="51">
        <f t="shared" si="36"/>
        <v>0.14000000000000001</v>
      </c>
      <c r="U37" s="56">
        <f>1.73</f>
        <v>1.73</v>
      </c>
      <c r="V37" s="45"/>
      <c r="W37" s="41"/>
      <c r="X37" s="41"/>
      <c r="Y37" s="41">
        <f>0.12</f>
        <v>0.12</v>
      </c>
      <c r="Z37" s="51">
        <f t="shared" si="37"/>
        <v>0.12</v>
      </c>
      <c r="AA37" s="56">
        <f>1.31</f>
        <v>1.31</v>
      </c>
      <c r="AB37" s="45"/>
      <c r="AC37" s="41"/>
      <c r="AD37" s="41"/>
      <c r="AE37" s="41">
        <f>0.08</f>
        <v>0.08</v>
      </c>
      <c r="AF37" s="51">
        <f t="shared" si="38"/>
        <v>0.08</v>
      </c>
      <c r="AG37" s="59">
        <v>0.95</v>
      </c>
      <c r="AH37" s="146">
        <f t="shared" si="39"/>
        <v>0.128</v>
      </c>
      <c r="AI37" s="147">
        <f t="shared" si="40"/>
        <v>1.8620000000000001</v>
      </c>
      <c r="AJ37" s="91">
        <f>5.14</f>
        <v>5.14</v>
      </c>
      <c r="AK37" s="96">
        <f t="shared" si="33"/>
        <v>2.9182879377431905</v>
      </c>
      <c r="AL37" s="104">
        <f t="shared" si="0"/>
        <v>2</v>
      </c>
      <c r="AM37" s="96">
        <f t="shared" si="1"/>
        <v>1.7647058823529411</v>
      </c>
      <c r="AN37" s="110">
        <f>5.3</f>
        <v>5.3</v>
      </c>
      <c r="AO37" s="67">
        <f>AN37*$AO$4</f>
        <v>5.83</v>
      </c>
      <c r="AP37" s="62">
        <f>(AH37/AO37)*100</f>
        <v>2.195540308747856</v>
      </c>
      <c r="AQ37" s="69">
        <f>AN37*$AQ$4</f>
        <v>5.5650000000000004</v>
      </c>
      <c r="AR37" s="64">
        <f>(AH37/AQ37)*100</f>
        <v>2.3000898472596587</v>
      </c>
      <c r="AS37" s="69">
        <f>AN37*$AS$4</f>
        <v>5.3</v>
      </c>
      <c r="AT37" s="64">
        <f>(AH37/AS37)*100</f>
        <v>2.4150943396226419</v>
      </c>
      <c r="AU37" s="69">
        <f>AN37*$AU$4</f>
        <v>5.194</v>
      </c>
      <c r="AV37" s="64">
        <f>(AH37/AU37)*100</f>
        <v>2.4643819792067769</v>
      </c>
      <c r="AW37" s="69">
        <f>AN37*$AW$4</f>
        <v>5.0349999999999993</v>
      </c>
      <c r="AX37" s="64">
        <f>(AH37/AW37)*100</f>
        <v>2.5422045680238337</v>
      </c>
      <c r="AY37" s="69">
        <f>AN37*$AY$4</f>
        <v>4.7699999999999996</v>
      </c>
      <c r="AZ37" s="64">
        <f>(AH37/AY37)*100</f>
        <v>2.6834381551362685</v>
      </c>
      <c r="BA37" s="69">
        <f>AN37*$BA$4</f>
        <v>4.6639999999999997</v>
      </c>
      <c r="BB37" s="64">
        <f>(AH37/BA37)*100</f>
        <v>2.7444253859348202</v>
      </c>
      <c r="BC37" s="69">
        <f>AN37*$BC$4</f>
        <v>4.5049999999999999</v>
      </c>
      <c r="BD37" s="64">
        <f>(AH37/BC37)*100</f>
        <v>2.8412874583795782</v>
      </c>
      <c r="BE37" s="69">
        <f>AN37*$BE$4</f>
        <v>4.24</v>
      </c>
      <c r="BF37" s="64">
        <f>(AH37/BE37)*100</f>
        <v>3.0188679245283021</v>
      </c>
      <c r="BG37" s="69">
        <f>AN37*$BG$4</f>
        <v>3.7099999999999995</v>
      </c>
      <c r="BH37" s="64">
        <f>(AH37/BG37)*100</f>
        <v>3.4501347708894881</v>
      </c>
      <c r="BI37" s="69">
        <f>AN37*$BI$4</f>
        <v>3.1799999999999997</v>
      </c>
      <c r="BJ37" s="64">
        <f>(AH37/BI37)*100</f>
        <v>4.0251572327044034</v>
      </c>
      <c r="BK37" s="69">
        <f>AN37*$BK$4</f>
        <v>2.65</v>
      </c>
      <c r="BL37" s="64">
        <f>(AH37/BK37)*100</f>
        <v>4.8301886792452837</v>
      </c>
    </row>
    <row r="38" spans="2:64" x14ac:dyDescent="0.2">
      <c r="B38" s="61">
        <v>33</v>
      </c>
      <c r="C38" s="103" t="s">
        <v>205</v>
      </c>
      <c r="D38" s="45"/>
      <c r="E38" s="41"/>
      <c r="F38" s="41"/>
      <c r="G38" s="41">
        <f>1.65</f>
        <v>1.65</v>
      </c>
      <c r="H38" s="51">
        <f t="shared" si="34"/>
        <v>1.65</v>
      </c>
      <c r="I38" s="59">
        <f>3.79</f>
        <v>3.79</v>
      </c>
      <c r="J38" s="45"/>
      <c r="K38" s="41"/>
      <c r="L38" s="41"/>
      <c r="M38" s="41">
        <f>1.35</f>
        <v>1.35</v>
      </c>
      <c r="N38" s="51">
        <f t="shared" si="35"/>
        <v>1.35</v>
      </c>
      <c r="O38" s="56">
        <f>2.66</f>
        <v>2.66</v>
      </c>
      <c r="P38" s="45"/>
      <c r="Q38" s="41"/>
      <c r="R38" s="41"/>
      <c r="S38" s="41">
        <f>1</f>
        <v>1</v>
      </c>
      <c r="T38" s="51">
        <f t="shared" si="36"/>
        <v>1</v>
      </c>
      <c r="U38" s="56">
        <f>1.72</f>
        <v>1.72</v>
      </c>
      <c r="V38" s="45"/>
      <c r="W38" s="41"/>
      <c r="X38" s="41"/>
      <c r="Y38" s="41">
        <f>0.75</f>
        <v>0.75</v>
      </c>
      <c r="Z38" s="51">
        <f t="shared" si="37"/>
        <v>0.75</v>
      </c>
      <c r="AA38" s="56">
        <f>1.16</f>
        <v>1.1599999999999999</v>
      </c>
      <c r="AB38" s="45"/>
      <c r="AC38" s="41"/>
      <c r="AD38" s="41"/>
      <c r="AE38" s="41">
        <v>0.6</v>
      </c>
      <c r="AF38" s="51">
        <f t="shared" si="38"/>
        <v>0.6</v>
      </c>
      <c r="AG38" s="59">
        <f>0.92</f>
        <v>0.92</v>
      </c>
      <c r="AH38" s="146">
        <f t="shared" si="39"/>
        <v>1.0699999999999998</v>
      </c>
      <c r="AI38" s="147">
        <f t="shared" si="40"/>
        <v>2.0499999999999998</v>
      </c>
      <c r="AJ38" s="91">
        <f>44.2</f>
        <v>44.2</v>
      </c>
      <c r="AK38" s="96">
        <f t="shared" si="33"/>
        <v>3.733031674208144</v>
      </c>
      <c r="AL38" s="104">
        <f t="shared" si="0"/>
        <v>22</v>
      </c>
      <c r="AM38" s="96">
        <f t="shared" si="1"/>
        <v>19.411764705882351</v>
      </c>
      <c r="AN38" s="110">
        <f>46.75</f>
        <v>46.75</v>
      </c>
      <c r="AO38" s="67">
        <f>AN38*$AO$4</f>
        <v>51.425000000000004</v>
      </c>
      <c r="AP38" s="62">
        <f>(AH38/AO38)*100</f>
        <v>2.0807000486144869</v>
      </c>
      <c r="AQ38" s="69">
        <f>AN38*$AQ$4</f>
        <v>49.087499999999999</v>
      </c>
      <c r="AR38" s="64">
        <f>(AH38/AQ38)*100</f>
        <v>2.1797810033104148</v>
      </c>
      <c r="AS38" s="69">
        <f>AN38*$AS$4</f>
        <v>46.75</v>
      </c>
      <c r="AT38" s="64">
        <f>(AH38/AS38)*100</f>
        <v>2.2887700534759357</v>
      </c>
      <c r="AU38" s="69">
        <f>AN38*$AU$4</f>
        <v>45.814999999999998</v>
      </c>
      <c r="AV38" s="64">
        <f>(AH38/AU38)*100</f>
        <v>2.335479646404016</v>
      </c>
      <c r="AW38" s="69">
        <f>AN38*$AW$4</f>
        <v>44.412500000000001</v>
      </c>
      <c r="AX38" s="64">
        <f>(AH38/AW38)*100</f>
        <v>2.4092316352378269</v>
      </c>
      <c r="AY38" s="69">
        <f>AN38*$AY$4</f>
        <v>42.075000000000003</v>
      </c>
      <c r="AZ38" s="64">
        <f>(AH38/AY38)*100</f>
        <v>2.5430778371954834</v>
      </c>
      <c r="BA38" s="69">
        <f>AN38*$BA$4</f>
        <v>41.14</v>
      </c>
      <c r="BB38" s="64">
        <f>(AH38/BA38)*100</f>
        <v>2.6008750607681081</v>
      </c>
      <c r="BC38" s="69">
        <f>AN38*$BC$4</f>
        <v>39.737499999999997</v>
      </c>
      <c r="BD38" s="64">
        <f>(AH38/BC38)*100</f>
        <v>2.6926706511481595</v>
      </c>
      <c r="BE38" s="69">
        <f>AN38*$BE$4</f>
        <v>37.4</v>
      </c>
      <c r="BF38" s="64">
        <f>(AH38/BE38)*100</f>
        <v>2.8609625668449197</v>
      </c>
      <c r="BG38" s="69">
        <f>AN38*$BG$4</f>
        <v>32.725000000000001</v>
      </c>
      <c r="BH38" s="64">
        <f>(AH38/BG38)*100</f>
        <v>3.269671504965622</v>
      </c>
      <c r="BI38" s="69">
        <f>AN38*$BI$4</f>
        <v>28.05</v>
      </c>
      <c r="BJ38" s="64">
        <f>(AH38/BI38)*100</f>
        <v>3.8146167557932258</v>
      </c>
      <c r="BK38" s="69">
        <f>AN38*$BK$4</f>
        <v>23.375</v>
      </c>
      <c r="BL38" s="64">
        <f>(AH38/BK38)*100</f>
        <v>4.5775401069518713</v>
      </c>
    </row>
    <row r="39" spans="2:64" x14ac:dyDescent="0.2">
      <c r="B39" s="61">
        <v>34</v>
      </c>
      <c r="C39" s="103" t="s">
        <v>206</v>
      </c>
      <c r="D39" s="45"/>
      <c r="E39" s="41"/>
      <c r="F39" s="41"/>
      <c r="G39" s="41">
        <f>3.25</f>
        <v>3.25</v>
      </c>
      <c r="H39" s="51">
        <f t="shared" si="34"/>
        <v>3.25</v>
      </c>
      <c r="I39" s="59">
        <f>5.65</f>
        <v>5.65</v>
      </c>
      <c r="J39" s="45"/>
      <c r="K39" s="41"/>
      <c r="L39" s="41"/>
      <c r="M39" s="41">
        <f>1.01</f>
        <v>1.01</v>
      </c>
      <c r="N39" s="51">
        <f t="shared" si="35"/>
        <v>1.01</v>
      </c>
      <c r="O39" s="56">
        <f>1.79</f>
        <v>1.79</v>
      </c>
      <c r="P39" s="45"/>
      <c r="Q39" s="41"/>
      <c r="R39" s="41"/>
      <c r="S39" s="41">
        <v>0.88</v>
      </c>
      <c r="T39" s="51">
        <f t="shared" si="36"/>
        <v>0.88</v>
      </c>
      <c r="U39" s="56">
        <f>2.01</f>
        <v>2.0099999999999998</v>
      </c>
      <c r="V39" s="45"/>
      <c r="W39" s="41"/>
      <c r="X39" s="41"/>
      <c r="Y39" s="41">
        <f>0.6</f>
        <v>0.6</v>
      </c>
      <c r="Z39" s="51">
        <f t="shared" si="37"/>
        <v>0.6</v>
      </c>
      <c r="AA39" s="56">
        <f>1.17</f>
        <v>1.17</v>
      </c>
      <c r="AB39" s="45"/>
      <c r="AC39" s="41"/>
      <c r="AD39" s="41"/>
      <c r="AE39" s="41">
        <f>0.44</f>
        <v>0.44</v>
      </c>
      <c r="AF39" s="51">
        <f t="shared" si="38"/>
        <v>0.44</v>
      </c>
      <c r="AG39" s="59">
        <f>0.88</f>
        <v>0.88</v>
      </c>
      <c r="AH39" s="146">
        <f t="shared" si="39"/>
        <v>1.236</v>
      </c>
      <c r="AI39" s="147">
        <f t="shared" si="40"/>
        <v>2.2999999999999998</v>
      </c>
      <c r="AJ39" s="91">
        <f>40.82</f>
        <v>40.82</v>
      </c>
      <c r="AK39" s="96">
        <f t="shared" si="33"/>
        <v>7.9617834394904454</v>
      </c>
      <c r="AL39" s="104">
        <f t="shared" si="0"/>
        <v>43.333333333333336</v>
      </c>
      <c r="AM39" s="96">
        <f t="shared" si="1"/>
        <v>38.235294117647058</v>
      </c>
      <c r="AN39" s="110">
        <f>60.25</f>
        <v>60.25</v>
      </c>
      <c r="AO39" s="67">
        <f>AN39*$AO$4</f>
        <v>66.275000000000006</v>
      </c>
      <c r="AP39" s="62">
        <f>(AH39/AO39)*100</f>
        <v>1.8649566201433418</v>
      </c>
      <c r="AQ39" s="69">
        <f>AN39*$AQ$4</f>
        <v>63.262500000000003</v>
      </c>
      <c r="AR39" s="64">
        <f>(AH39/AQ39)*100</f>
        <v>1.9537640782454058</v>
      </c>
      <c r="AS39" s="69">
        <f>AN39*$AS$4</f>
        <v>60.25</v>
      </c>
      <c r="AT39" s="64">
        <f>(AH39/AS39)*100</f>
        <v>2.0514522821576762</v>
      </c>
      <c r="AU39" s="69">
        <f>AN39*$AU$4</f>
        <v>59.045000000000002</v>
      </c>
      <c r="AV39" s="64">
        <f>(AH39/AU39)*100</f>
        <v>2.0933186552629346</v>
      </c>
      <c r="AW39" s="69">
        <f>AN39*$AW$4</f>
        <v>57.237499999999997</v>
      </c>
      <c r="AX39" s="64">
        <f>(AH39/AW39)*100</f>
        <v>2.1594234549028175</v>
      </c>
      <c r="AY39" s="69">
        <f>AN39*$AY$4</f>
        <v>54.225000000000001</v>
      </c>
      <c r="AZ39" s="64">
        <f>(AH39/AY39)*100</f>
        <v>2.2793914246196403</v>
      </c>
      <c r="BA39" s="69">
        <f>AN39*$BA$4</f>
        <v>53.02</v>
      </c>
      <c r="BB39" s="64">
        <f>(AH39/BA39)*100</f>
        <v>2.3311957751791774</v>
      </c>
      <c r="BC39" s="69">
        <f>AN39*$BC$4</f>
        <v>51.212499999999999</v>
      </c>
      <c r="BD39" s="64">
        <f>(AH39/BC39)*100</f>
        <v>2.4134732731266784</v>
      </c>
      <c r="BE39" s="69">
        <f>AN39*$BE$4</f>
        <v>48.2</v>
      </c>
      <c r="BF39" s="64">
        <f>(AH39/BE39)*100</f>
        <v>2.5643153526970952</v>
      </c>
      <c r="BG39" s="69">
        <f>AN39*$BG$4</f>
        <v>42.174999999999997</v>
      </c>
      <c r="BH39" s="64">
        <f>(AH39/BG39)*100</f>
        <v>2.9306461173681093</v>
      </c>
      <c r="BI39" s="69">
        <f>AN39*$BI$4</f>
        <v>36.15</v>
      </c>
      <c r="BJ39" s="64">
        <f>(AH39/BI39)*100</f>
        <v>3.4190871369294609</v>
      </c>
      <c r="BK39" s="69">
        <f>AN39*$BK$4</f>
        <v>30.125</v>
      </c>
      <c r="BL39" s="64">
        <f>(AH39/BK39)*100</f>
        <v>4.1029045643153523</v>
      </c>
    </row>
    <row r="40" spans="2:64" ht="17" thickBot="1" x14ac:dyDescent="0.25">
      <c r="B40" s="61">
        <v>35</v>
      </c>
      <c r="C40" s="103" t="s">
        <v>207</v>
      </c>
      <c r="D40" s="46"/>
      <c r="E40" s="47">
        <f>1</f>
        <v>1</v>
      </c>
      <c r="F40" s="47"/>
      <c r="G40" s="47">
        <f>0.5</f>
        <v>0.5</v>
      </c>
      <c r="H40" s="52">
        <f t="shared" si="34"/>
        <v>1.5</v>
      </c>
      <c r="I40" s="60">
        <f>2.37+4.85</f>
        <v>7.22</v>
      </c>
      <c r="J40" s="46">
        <f>1.1</f>
        <v>1.1000000000000001</v>
      </c>
      <c r="K40" s="47">
        <f>0.5</f>
        <v>0.5</v>
      </c>
      <c r="L40" s="47"/>
      <c r="M40" s="47">
        <f>1</f>
        <v>1</v>
      </c>
      <c r="N40" s="52">
        <f t="shared" si="35"/>
        <v>2.6</v>
      </c>
      <c r="O40" s="57">
        <f>3.79+1.8+4.95</f>
        <v>10.54</v>
      </c>
      <c r="P40" s="46"/>
      <c r="Q40" s="47">
        <f>0.5</f>
        <v>0.5</v>
      </c>
      <c r="R40" s="47"/>
      <c r="S40" s="47"/>
      <c r="T40" s="52">
        <f t="shared" si="36"/>
        <v>0.5</v>
      </c>
      <c r="U40" s="57">
        <f>1.23</f>
        <v>1.23</v>
      </c>
      <c r="V40" s="46">
        <f>1.3</f>
        <v>1.3</v>
      </c>
      <c r="W40" s="47">
        <f>0.5</f>
        <v>0.5</v>
      </c>
      <c r="X40" s="47"/>
      <c r="Y40" s="47">
        <f>0.75</f>
        <v>0.75</v>
      </c>
      <c r="Z40" s="52">
        <f t="shared" si="37"/>
        <v>2.5499999999999998</v>
      </c>
      <c r="AA40" s="57">
        <f>1.91+0.8+1.71</f>
        <v>4.42</v>
      </c>
      <c r="AB40" s="46"/>
      <c r="AC40" s="47">
        <f>0.5</f>
        <v>0.5</v>
      </c>
      <c r="AD40" s="47"/>
      <c r="AE40" s="47"/>
      <c r="AF40" s="52">
        <f t="shared" si="38"/>
        <v>0.5</v>
      </c>
      <c r="AG40" s="60">
        <f>1.38</f>
        <v>1.38</v>
      </c>
      <c r="AH40" s="148">
        <f t="shared" si="39"/>
        <v>1.5299999999999998</v>
      </c>
      <c r="AI40" s="149">
        <f t="shared" si="40"/>
        <v>4.9579999999999993</v>
      </c>
      <c r="AJ40" s="92">
        <f>20.19</f>
        <v>20.190000000000001</v>
      </c>
      <c r="AK40" s="97">
        <f t="shared" si="33"/>
        <v>7.4294205052005946</v>
      </c>
      <c r="AL40" s="105">
        <f t="shared" si="0"/>
        <v>20</v>
      </c>
      <c r="AM40" s="97">
        <f t="shared" si="1"/>
        <v>17.647058823529413</v>
      </c>
      <c r="AN40" s="110">
        <f>22.2</f>
        <v>22.2</v>
      </c>
      <c r="AO40" s="68">
        <f>AN40*$AO$4</f>
        <v>24.42</v>
      </c>
      <c r="AP40" s="63">
        <f>(AH40/AO40)*100</f>
        <v>6.2653562653562647</v>
      </c>
      <c r="AQ40" s="70">
        <f>AN40*$AQ$4</f>
        <v>23.31</v>
      </c>
      <c r="AR40" s="65">
        <f>(AH40/AQ40)*100</f>
        <v>6.563706563706563</v>
      </c>
      <c r="AS40" s="70">
        <f>AN40*$AS$4</f>
        <v>22.2</v>
      </c>
      <c r="AT40" s="65">
        <f>(AH40/AS40)*100</f>
        <v>6.8918918918918912</v>
      </c>
      <c r="AU40" s="70">
        <f>AN40*$AU$4</f>
        <v>21.756</v>
      </c>
      <c r="AV40" s="65">
        <f>(AH40/AU40)*100</f>
        <v>7.0325427468284598</v>
      </c>
      <c r="AW40" s="70">
        <f>AN40*$AW$4</f>
        <v>21.09</v>
      </c>
      <c r="AX40" s="65">
        <f>(AH40/AW40)*100</f>
        <v>7.2546230440967276</v>
      </c>
      <c r="AY40" s="70">
        <f>AN40*$AY$4</f>
        <v>19.98</v>
      </c>
      <c r="AZ40" s="65">
        <f>(AH40/AY40)*100</f>
        <v>7.6576576576576567</v>
      </c>
      <c r="BA40" s="70">
        <f>AN40*$BA$4</f>
        <v>19.535999999999998</v>
      </c>
      <c r="BB40" s="65">
        <f>(AH40/BA40)*100</f>
        <v>7.8316953316953324</v>
      </c>
      <c r="BC40" s="70">
        <f>AN40*$BC$4</f>
        <v>18.869999999999997</v>
      </c>
      <c r="BD40" s="65">
        <f>(AH40/BC40)*100</f>
        <v>8.1081081081081088</v>
      </c>
      <c r="BE40" s="70">
        <f>AN40*$BE$4</f>
        <v>17.760000000000002</v>
      </c>
      <c r="BF40" s="65">
        <f>(AH40/BE40)*100</f>
        <v>8.6148648648648631</v>
      </c>
      <c r="BG40" s="70">
        <f>AN40*$BG$4</f>
        <v>15.54</v>
      </c>
      <c r="BH40" s="65">
        <f>(AH40/BG40)*100</f>
        <v>9.8455598455598459</v>
      </c>
      <c r="BI40" s="70">
        <f>AN40*$BI$4</f>
        <v>13.319999999999999</v>
      </c>
      <c r="BJ40" s="65">
        <f>(AH40/BI40)*100</f>
        <v>11.486486486486486</v>
      </c>
      <c r="BK40" s="70">
        <f>AN40*$BK$4</f>
        <v>11.1</v>
      </c>
      <c r="BL40" s="65">
        <f>(AH40/BK40)*100</f>
        <v>13.783783783783782</v>
      </c>
    </row>
    <row r="41" spans="2:64" ht="17" thickBot="1" x14ac:dyDescent="0.25">
      <c r="C41" s="111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53"/>
      <c r="AI41" s="113"/>
      <c r="AJ41" s="114"/>
      <c r="AK41" s="114"/>
      <c r="AL41" s="115"/>
      <c r="AM41" s="114"/>
      <c r="AN41" s="116"/>
      <c r="AO41" s="117"/>
      <c r="AP41" s="118"/>
      <c r="AQ41" s="119"/>
      <c r="AR41" s="120"/>
      <c r="AS41" s="119"/>
      <c r="AT41" s="120"/>
      <c r="AU41" s="119"/>
      <c r="AV41" s="120"/>
      <c r="AW41" s="119"/>
      <c r="AX41" s="120"/>
      <c r="AY41" s="119"/>
      <c r="AZ41" s="120"/>
      <c r="BA41" s="119"/>
      <c r="BB41" s="120"/>
      <c r="BC41" s="119"/>
      <c r="BD41" s="120"/>
      <c r="BE41" s="119"/>
      <c r="BF41" s="120"/>
      <c r="BG41" s="119"/>
      <c r="BH41" s="120"/>
      <c r="BI41" s="119"/>
      <c r="BJ41" s="120"/>
      <c r="BK41" s="119"/>
      <c r="BL41" s="120"/>
    </row>
    <row r="42" spans="2:64" x14ac:dyDescent="0.2">
      <c r="B42" s="5">
        <v>36</v>
      </c>
      <c r="C42" s="109" t="s">
        <v>23</v>
      </c>
      <c r="D42" s="48"/>
      <c r="E42" s="49"/>
      <c r="F42" s="49"/>
      <c r="G42" s="49">
        <f>0.5</f>
        <v>0.5</v>
      </c>
      <c r="H42" s="80">
        <f t="shared" ref="H42:H62" si="41">SUM(D42:G42)</f>
        <v>0.5</v>
      </c>
      <c r="I42" s="82">
        <f>3.07</f>
        <v>3.07</v>
      </c>
      <c r="J42" s="48"/>
      <c r="K42" s="49"/>
      <c r="L42" s="49"/>
      <c r="M42" s="49">
        <f>1</f>
        <v>1</v>
      </c>
      <c r="N42" s="80">
        <f t="shared" ref="N42:N62" si="42">SUM(J42:M42)</f>
        <v>1</v>
      </c>
      <c r="O42" s="81">
        <f>7.3</f>
        <v>7.3</v>
      </c>
      <c r="P42" s="48"/>
      <c r="Q42" s="49"/>
      <c r="R42" s="49"/>
      <c r="S42" s="49">
        <f>1</f>
        <v>1</v>
      </c>
      <c r="T42" s="80">
        <f t="shared" ref="T42:T62" si="43">SUM(P42:S42)</f>
        <v>1</v>
      </c>
      <c r="U42" s="81">
        <f>5.75</f>
        <v>5.75</v>
      </c>
      <c r="V42" s="48"/>
      <c r="W42" s="49">
        <f>1</f>
        <v>1</v>
      </c>
      <c r="X42" s="49"/>
      <c r="Y42" s="49">
        <f>0.72</f>
        <v>0.72</v>
      </c>
      <c r="Z42" s="80">
        <f t="shared" ref="Z42:Z62" si="44">SUM(V42:Y42)</f>
        <v>1.72</v>
      </c>
      <c r="AA42" s="81">
        <f>4.74+3.3</f>
        <v>8.0399999999999991</v>
      </c>
      <c r="AB42" s="48">
        <f>1</f>
        <v>1</v>
      </c>
      <c r="AC42" s="49">
        <f>1.25</f>
        <v>1.25</v>
      </c>
      <c r="AD42" s="49">
        <f>1.25</f>
        <v>1.25</v>
      </c>
      <c r="AE42" s="49">
        <f>0.65</f>
        <v>0.65</v>
      </c>
      <c r="AF42" s="80">
        <f t="shared" ref="AF42:AF62" si="45">SUM(AB42:AE42)</f>
        <v>4.1500000000000004</v>
      </c>
      <c r="AG42" s="82">
        <f>2.25+3.25+4.24+2.48</f>
        <v>12.22</v>
      </c>
      <c r="AH42" s="144">
        <f>AVERAGE(H42,N42,T42,Z42,AF42)</f>
        <v>1.6740000000000002</v>
      </c>
      <c r="AI42" s="145">
        <f t="shared" ref="AI42:AI62" si="46">AVERAGE(I42,O42,U42,AA42,AG42)</f>
        <v>7.2759999999999989</v>
      </c>
      <c r="AJ42" s="121"/>
      <c r="AK42" s="127" t="e">
        <f>(H42/AJ42)*100</f>
        <v>#DIV/0!</v>
      </c>
      <c r="AL42" s="121">
        <f>(H42/$AL$2)*100</f>
        <v>6.666666666666667</v>
      </c>
      <c r="AM42" s="122">
        <f t="shared" ref="AM42:AM62" si="47">(H42/$AM$2)*100</f>
        <v>5.8823529411764701</v>
      </c>
      <c r="AN42" s="110">
        <f t="shared" ref="AN42" si="48">22.2</f>
        <v>22.2</v>
      </c>
      <c r="AO42" s="66">
        <f t="shared" ref="AO42:AO62" si="49">AN42*$AO$4</f>
        <v>24.42</v>
      </c>
      <c r="AP42" s="87">
        <f t="shared" ref="AP42:AP62" si="50">(AH42/AO42)*100</f>
        <v>6.8550368550368557</v>
      </c>
      <c r="AQ42" s="88">
        <f t="shared" ref="AQ42:AQ62" si="51">AN42*$AQ$4</f>
        <v>23.31</v>
      </c>
      <c r="AR42" s="89">
        <f t="shared" ref="AR42:AR62" si="52">(AH42/AQ42)*100</f>
        <v>7.1814671814671822</v>
      </c>
      <c r="AS42" s="88">
        <f t="shared" ref="AS42:AS62" si="53">AN42*$AS$4</f>
        <v>22.2</v>
      </c>
      <c r="AT42" s="89">
        <f t="shared" ref="AT42:AT62" si="54">(AH42/AS42)*100</f>
        <v>7.5405405405405412</v>
      </c>
      <c r="AU42" s="88">
        <f t="shared" ref="AU42:AU62" si="55">AN42*$AU$4</f>
        <v>21.756</v>
      </c>
      <c r="AV42" s="89">
        <f t="shared" ref="AV42:AV62" si="56">(AH42/AU42)*100</f>
        <v>7.6944291230005524</v>
      </c>
      <c r="AW42" s="132">
        <f t="shared" ref="AW42:AW62" si="57">AN42*$AW$4</f>
        <v>21.09</v>
      </c>
      <c r="AX42" s="89">
        <f t="shared" ref="AX42:AX62" si="58">(AH42/AW42)*100</f>
        <v>7.9374110953058326</v>
      </c>
      <c r="AY42" s="88">
        <f t="shared" ref="AY42:AY62" si="59">AN42*$AY$4</f>
        <v>19.98</v>
      </c>
      <c r="AZ42" s="89">
        <f t="shared" ref="AZ42:AZ62" si="60">(AH42/AY42)*100</f>
        <v>8.378378378378379</v>
      </c>
      <c r="BA42" s="88">
        <f t="shared" ref="BA42:BA62" si="61">AN42*$BA$4</f>
        <v>19.535999999999998</v>
      </c>
      <c r="BB42" s="89">
        <f t="shared" ref="BB42:BB62" si="62">(AH42/BA42)*100</f>
        <v>8.5687960687960718</v>
      </c>
      <c r="BC42" s="88">
        <f t="shared" ref="BC42:BC62" si="63">AN42*$BC$4</f>
        <v>18.869999999999997</v>
      </c>
      <c r="BD42" s="89">
        <f t="shared" ref="BD42:BD62" si="64">(AH42/BC42)*100</f>
        <v>8.8712241653418147</v>
      </c>
      <c r="BE42" s="88">
        <f t="shared" ref="BE42:BE62" si="65">AN42*$BE$4</f>
        <v>17.760000000000002</v>
      </c>
      <c r="BF42" s="89">
        <f t="shared" ref="BF42:BF62" si="66">(AH42/BE42)*100</f>
        <v>9.4256756756756754</v>
      </c>
      <c r="BG42" s="88">
        <f t="shared" ref="BG42:BG62" si="67">AN42*$BG$4</f>
        <v>15.54</v>
      </c>
      <c r="BH42" s="89">
        <f t="shared" ref="BH42:BH62" si="68">(AH42/BG42)*100</f>
        <v>10.772200772200774</v>
      </c>
      <c r="BI42" s="88">
        <f t="shared" ref="BI42:BI62" si="69">AN42*$BI$4</f>
        <v>13.319999999999999</v>
      </c>
      <c r="BJ42" s="89">
        <f t="shared" ref="BJ42:BJ62" si="70">(AH42/BI42)*100</f>
        <v>12.56756756756757</v>
      </c>
      <c r="BK42" s="88">
        <f t="shared" ref="BK42:BK62" si="71">AN42*$BK$4</f>
        <v>11.1</v>
      </c>
      <c r="BL42" s="89">
        <f t="shared" ref="BL42:BL62" si="72">(AH42/BK42)*100</f>
        <v>15.081081081081082</v>
      </c>
    </row>
    <row r="43" spans="2:64" x14ac:dyDescent="0.2">
      <c r="B43" s="5">
        <v>37</v>
      </c>
      <c r="C43" s="109" t="s">
        <v>214</v>
      </c>
      <c r="D43" s="45"/>
      <c r="E43" s="41"/>
      <c r="F43" s="41"/>
      <c r="G43" s="41">
        <f>0.21</f>
        <v>0.21</v>
      </c>
      <c r="H43" s="51">
        <f t="shared" si="41"/>
        <v>0.21</v>
      </c>
      <c r="I43" s="59">
        <f>3.47</f>
        <v>3.47</v>
      </c>
      <c r="J43" s="45"/>
      <c r="K43" s="41"/>
      <c r="L43" s="41"/>
      <c r="M43" s="41"/>
      <c r="N43" s="51">
        <f t="shared" si="42"/>
        <v>0</v>
      </c>
      <c r="O43" s="56"/>
      <c r="P43" s="45"/>
      <c r="Q43" s="41"/>
      <c r="R43" s="41"/>
      <c r="S43" s="41"/>
      <c r="T43" s="51">
        <f t="shared" si="43"/>
        <v>0</v>
      </c>
      <c r="U43" s="56"/>
      <c r="V43" s="45"/>
      <c r="W43" s="41"/>
      <c r="X43" s="41"/>
      <c r="Y43" s="41"/>
      <c r="Z43" s="51">
        <f t="shared" si="44"/>
        <v>0</v>
      </c>
      <c r="AA43" s="56"/>
      <c r="AB43" s="45"/>
      <c r="AC43" s="41"/>
      <c r="AD43" s="41"/>
      <c r="AE43" s="41"/>
      <c r="AF43" s="51">
        <f t="shared" si="45"/>
        <v>0</v>
      </c>
      <c r="AG43" s="59"/>
      <c r="AH43" s="146">
        <f t="shared" ref="AH43:AH62" si="73">AVERAGE(H43,N43,T43,Z43,AF43)</f>
        <v>4.1999999999999996E-2</v>
      </c>
      <c r="AI43" s="147">
        <f t="shared" si="46"/>
        <v>3.47</v>
      </c>
      <c r="AJ43" s="123"/>
      <c r="AK43" s="124" t="e">
        <f t="shared" ref="AK43:AK62" si="74">(H43/AJ43)*100</f>
        <v>#DIV/0!</v>
      </c>
      <c r="AL43" s="123">
        <f t="shared" ref="AL43:AL62" si="75">(H43/$AL$2)*100</f>
        <v>2.8000000000000003</v>
      </c>
      <c r="AM43" s="124">
        <f t="shared" si="47"/>
        <v>2.4705882352941173</v>
      </c>
      <c r="AN43" s="110">
        <f>6.05</f>
        <v>6.05</v>
      </c>
      <c r="AO43" s="67">
        <f t="shared" si="49"/>
        <v>6.6550000000000002</v>
      </c>
      <c r="AP43" s="62">
        <f t="shared" si="50"/>
        <v>0.6311044327573252</v>
      </c>
      <c r="AQ43" s="69">
        <f t="shared" si="51"/>
        <v>6.3525</v>
      </c>
      <c r="AR43" s="64">
        <f t="shared" si="52"/>
        <v>0.66115702479338834</v>
      </c>
      <c r="AS43" s="69">
        <f t="shared" si="53"/>
        <v>6.05</v>
      </c>
      <c r="AT43" s="64">
        <f t="shared" si="54"/>
        <v>0.69421487603305787</v>
      </c>
      <c r="AU43" s="69">
        <f t="shared" si="55"/>
        <v>5.9289999999999994</v>
      </c>
      <c r="AV43" s="64">
        <f t="shared" si="56"/>
        <v>0.70838252656434475</v>
      </c>
      <c r="AW43" s="69">
        <f t="shared" si="57"/>
        <v>5.7474999999999996</v>
      </c>
      <c r="AX43" s="64">
        <f t="shared" si="58"/>
        <v>0.73075250108742928</v>
      </c>
      <c r="AY43" s="69">
        <f t="shared" si="59"/>
        <v>5.4450000000000003</v>
      </c>
      <c r="AZ43" s="64">
        <f t="shared" si="60"/>
        <v>0.77134986225895308</v>
      </c>
      <c r="BA43" s="69">
        <f t="shared" si="61"/>
        <v>5.3239999999999998</v>
      </c>
      <c r="BB43" s="64">
        <f t="shared" si="62"/>
        <v>0.78888054094665649</v>
      </c>
      <c r="BC43" s="69">
        <f t="shared" si="63"/>
        <v>5.1425000000000001</v>
      </c>
      <c r="BD43" s="64">
        <f t="shared" si="64"/>
        <v>0.81672338356830321</v>
      </c>
      <c r="BE43" s="69">
        <f t="shared" si="65"/>
        <v>4.84</v>
      </c>
      <c r="BF43" s="64">
        <f t="shared" si="66"/>
        <v>0.86776859504132231</v>
      </c>
      <c r="BG43" s="69">
        <f t="shared" si="67"/>
        <v>4.2349999999999994</v>
      </c>
      <c r="BH43" s="64">
        <f t="shared" si="68"/>
        <v>0.99173553719008267</v>
      </c>
      <c r="BI43" s="69">
        <f t="shared" si="69"/>
        <v>3.63</v>
      </c>
      <c r="BJ43" s="64">
        <f t="shared" si="70"/>
        <v>1.1570247933884297</v>
      </c>
      <c r="BK43" s="69">
        <f t="shared" si="71"/>
        <v>3.0249999999999999</v>
      </c>
      <c r="BL43" s="64">
        <f t="shared" si="72"/>
        <v>1.3884297520661157</v>
      </c>
    </row>
    <row r="44" spans="2:64" x14ac:dyDescent="0.2">
      <c r="B44" s="5">
        <v>38</v>
      </c>
      <c r="C44" s="109" t="s">
        <v>215</v>
      </c>
      <c r="D44" s="45"/>
      <c r="E44" s="41">
        <f>0.1</f>
        <v>0.1</v>
      </c>
      <c r="F44" s="41">
        <f>0.05</f>
        <v>0.05</v>
      </c>
      <c r="G44" s="41">
        <f>0.1</f>
        <v>0.1</v>
      </c>
      <c r="H44" s="51">
        <f t="shared" si="41"/>
        <v>0.25</v>
      </c>
      <c r="I44" s="59">
        <f>2.69+1.85+2.55</f>
        <v>7.09</v>
      </c>
      <c r="J44" s="45"/>
      <c r="K44" s="41">
        <f>0.02</f>
        <v>0.02</v>
      </c>
      <c r="L44" s="41">
        <f>0.02</f>
        <v>0.02</v>
      </c>
      <c r="M44" s="41">
        <f>0.02</f>
        <v>0.02</v>
      </c>
      <c r="N44" s="51">
        <f t="shared" si="42"/>
        <v>0.06</v>
      </c>
      <c r="O44" s="56">
        <f>1.59+1.41+1.49</f>
        <v>4.49</v>
      </c>
      <c r="P44" s="45"/>
      <c r="Q44" s="41"/>
      <c r="R44" s="41"/>
      <c r="S44" s="41">
        <f>0.039</f>
        <v>3.9E-2</v>
      </c>
      <c r="T44" s="51">
        <f t="shared" si="43"/>
        <v>3.9E-2</v>
      </c>
      <c r="U44" s="56">
        <f>2.87</f>
        <v>2.87</v>
      </c>
      <c r="V44" s="45"/>
      <c r="W44" s="41"/>
      <c r="X44" s="41"/>
      <c r="Y44" s="41">
        <f>0.08</f>
        <v>0.08</v>
      </c>
      <c r="Z44" s="51">
        <f t="shared" si="44"/>
        <v>0.08</v>
      </c>
      <c r="AA44" s="56">
        <f>3.36</f>
        <v>3.36</v>
      </c>
      <c r="AB44" s="45"/>
      <c r="AC44" s="41"/>
      <c r="AD44" s="41"/>
      <c r="AE44" s="41"/>
      <c r="AF44" s="51">
        <f t="shared" si="45"/>
        <v>0</v>
      </c>
      <c r="AG44" s="59"/>
      <c r="AH44" s="146">
        <f t="shared" si="73"/>
        <v>8.5800000000000001E-2</v>
      </c>
      <c r="AI44" s="147">
        <f t="shared" si="46"/>
        <v>4.4524999999999997</v>
      </c>
      <c r="AJ44" s="123"/>
      <c r="AK44" s="124" t="e">
        <f t="shared" si="74"/>
        <v>#DIV/0!</v>
      </c>
      <c r="AL44" s="130">
        <f t="shared" si="75"/>
        <v>3.3333333333333335</v>
      </c>
      <c r="AM44" s="131">
        <f t="shared" si="47"/>
        <v>2.9411764705882351</v>
      </c>
      <c r="AN44" s="110">
        <f>3.98</f>
        <v>3.98</v>
      </c>
      <c r="AO44" s="67">
        <f t="shared" si="49"/>
        <v>4.3780000000000001</v>
      </c>
      <c r="AP44" s="62">
        <f t="shared" si="50"/>
        <v>1.9597989949748744</v>
      </c>
      <c r="AQ44" s="69">
        <f t="shared" si="51"/>
        <v>4.1790000000000003</v>
      </c>
      <c r="AR44" s="64">
        <f t="shared" si="52"/>
        <v>2.0531227566403443</v>
      </c>
      <c r="AS44" s="69">
        <f t="shared" si="53"/>
        <v>3.98</v>
      </c>
      <c r="AT44" s="64">
        <f t="shared" si="54"/>
        <v>2.1557788944723622</v>
      </c>
      <c r="AU44" s="69">
        <f t="shared" si="55"/>
        <v>3.9003999999999999</v>
      </c>
      <c r="AV44" s="64">
        <f t="shared" si="56"/>
        <v>2.1997743821146551</v>
      </c>
      <c r="AW44" s="69">
        <f t="shared" si="57"/>
        <v>3.7809999999999997</v>
      </c>
      <c r="AX44" s="64">
        <f t="shared" si="58"/>
        <v>2.2692409415498549</v>
      </c>
      <c r="AY44" s="69">
        <f t="shared" si="59"/>
        <v>3.5819999999999999</v>
      </c>
      <c r="AZ44" s="64">
        <f t="shared" si="60"/>
        <v>2.3953098827470689</v>
      </c>
      <c r="BA44" s="69">
        <f t="shared" si="61"/>
        <v>3.5024000000000002</v>
      </c>
      <c r="BB44" s="64">
        <f t="shared" si="62"/>
        <v>2.449748743718593</v>
      </c>
      <c r="BC44" s="69">
        <f t="shared" si="63"/>
        <v>3.383</v>
      </c>
      <c r="BD44" s="64">
        <f t="shared" si="64"/>
        <v>2.5362104640851317</v>
      </c>
      <c r="BE44" s="69">
        <f t="shared" si="65"/>
        <v>3.1840000000000002</v>
      </c>
      <c r="BF44" s="64">
        <f t="shared" si="66"/>
        <v>2.6947236180904519</v>
      </c>
      <c r="BG44" s="69">
        <f t="shared" si="67"/>
        <v>2.786</v>
      </c>
      <c r="BH44" s="64">
        <f t="shared" si="68"/>
        <v>3.0796841349605169</v>
      </c>
      <c r="BI44" s="69">
        <f t="shared" si="69"/>
        <v>2.3879999999999999</v>
      </c>
      <c r="BJ44" s="64">
        <f t="shared" si="70"/>
        <v>3.5929648241206027</v>
      </c>
      <c r="BK44" s="69">
        <f t="shared" si="71"/>
        <v>1.99</v>
      </c>
      <c r="BL44" s="64">
        <f t="shared" si="72"/>
        <v>4.3115577889447243</v>
      </c>
    </row>
    <row r="45" spans="2:64" x14ac:dyDescent="0.2">
      <c r="B45" s="5">
        <v>39</v>
      </c>
      <c r="C45" s="109" t="s">
        <v>216</v>
      </c>
      <c r="D45" s="45"/>
      <c r="E45" s="41"/>
      <c r="F45" s="41"/>
      <c r="G45" s="41">
        <f>0.21</f>
        <v>0.21</v>
      </c>
      <c r="H45" s="51">
        <f t="shared" si="41"/>
        <v>0.21</v>
      </c>
      <c r="I45" s="59">
        <f>2.98</f>
        <v>2.98</v>
      </c>
      <c r="J45" s="45"/>
      <c r="K45" s="41">
        <f>0.15</f>
        <v>0.15</v>
      </c>
      <c r="L45" s="41"/>
      <c r="M45" s="41"/>
      <c r="N45" s="51">
        <f t="shared" si="42"/>
        <v>0.15</v>
      </c>
      <c r="O45" s="56">
        <f>1.36</f>
        <v>1.36</v>
      </c>
      <c r="P45" s="45"/>
      <c r="Q45" s="41">
        <f>0.25</f>
        <v>0.25</v>
      </c>
      <c r="R45" s="41"/>
      <c r="S45" s="41">
        <f>0.22</f>
        <v>0.22</v>
      </c>
      <c r="T45" s="51">
        <f t="shared" si="43"/>
        <v>0.47</v>
      </c>
      <c r="U45" s="56">
        <f>0.74+1.41</f>
        <v>2.15</v>
      </c>
      <c r="V45" s="45"/>
      <c r="W45" s="41">
        <f>0.15</f>
        <v>0.15</v>
      </c>
      <c r="X45" s="41"/>
      <c r="Y45" s="41">
        <f>0.37</f>
        <v>0.37</v>
      </c>
      <c r="Z45" s="51">
        <f t="shared" si="44"/>
        <v>0.52</v>
      </c>
      <c r="AA45" s="56">
        <f>0.27+1.1</f>
        <v>1.37</v>
      </c>
      <c r="AB45" s="45"/>
      <c r="AC45" s="41">
        <f>0.15</f>
        <v>0.15</v>
      </c>
      <c r="AD45" s="41"/>
      <c r="AE45" s="41">
        <f>0.3</f>
        <v>0.3</v>
      </c>
      <c r="AF45" s="51">
        <f t="shared" si="45"/>
        <v>0.44999999999999996</v>
      </c>
      <c r="AG45" s="59">
        <f>0.97+1.08</f>
        <v>2.0499999999999998</v>
      </c>
      <c r="AH45" s="146">
        <f t="shared" si="73"/>
        <v>0.36</v>
      </c>
      <c r="AI45" s="147">
        <f t="shared" si="46"/>
        <v>1.982</v>
      </c>
      <c r="AJ45" s="123"/>
      <c r="AK45" s="124" t="e">
        <f t="shared" si="74"/>
        <v>#DIV/0!</v>
      </c>
      <c r="AL45" s="123">
        <f t="shared" si="75"/>
        <v>2.8000000000000003</v>
      </c>
      <c r="AM45" s="124">
        <f t="shared" si="47"/>
        <v>2.4705882352941173</v>
      </c>
      <c r="AN45" s="110">
        <f>13</f>
        <v>13</v>
      </c>
      <c r="AO45" s="67">
        <f t="shared" si="49"/>
        <v>14.3</v>
      </c>
      <c r="AP45" s="62">
        <f t="shared" si="50"/>
        <v>2.5174825174825175</v>
      </c>
      <c r="AQ45" s="69">
        <f t="shared" si="51"/>
        <v>13.65</v>
      </c>
      <c r="AR45" s="64">
        <f t="shared" si="52"/>
        <v>2.6373626373626373</v>
      </c>
      <c r="AS45" s="69">
        <f t="shared" si="53"/>
        <v>13</v>
      </c>
      <c r="AT45" s="64">
        <f t="shared" si="54"/>
        <v>2.7692307692307692</v>
      </c>
      <c r="AU45" s="69">
        <f t="shared" si="55"/>
        <v>12.74</v>
      </c>
      <c r="AV45" s="64">
        <f t="shared" si="56"/>
        <v>2.8257456828885399</v>
      </c>
      <c r="AW45" s="69">
        <f t="shared" si="57"/>
        <v>12.35</v>
      </c>
      <c r="AX45" s="64">
        <f t="shared" si="58"/>
        <v>2.9149797570850202</v>
      </c>
      <c r="AY45" s="69">
        <f t="shared" si="59"/>
        <v>11.700000000000001</v>
      </c>
      <c r="AZ45" s="64">
        <f t="shared" si="60"/>
        <v>3.0769230769230762</v>
      </c>
      <c r="BA45" s="69">
        <f t="shared" si="61"/>
        <v>11.44</v>
      </c>
      <c r="BB45" s="64">
        <f t="shared" si="62"/>
        <v>3.1468531468531471</v>
      </c>
      <c r="BC45" s="69">
        <f t="shared" si="63"/>
        <v>11.049999999999999</v>
      </c>
      <c r="BD45" s="64">
        <f t="shared" si="64"/>
        <v>3.2579185520361995</v>
      </c>
      <c r="BE45" s="69">
        <f t="shared" si="65"/>
        <v>10.4</v>
      </c>
      <c r="BF45" s="64">
        <f t="shared" si="66"/>
        <v>3.4615384615384612</v>
      </c>
      <c r="BG45" s="69">
        <f t="shared" si="67"/>
        <v>9.1</v>
      </c>
      <c r="BH45" s="64">
        <f t="shared" si="68"/>
        <v>3.9560439560439558</v>
      </c>
      <c r="BI45" s="69">
        <f t="shared" si="69"/>
        <v>7.8</v>
      </c>
      <c r="BJ45" s="64">
        <f t="shared" si="70"/>
        <v>4.6153846153846159</v>
      </c>
      <c r="BK45" s="69">
        <f t="shared" si="71"/>
        <v>6.5</v>
      </c>
      <c r="BL45" s="64">
        <f t="shared" si="72"/>
        <v>5.5384615384615383</v>
      </c>
    </row>
    <row r="46" spans="2:64" x14ac:dyDescent="0.2">
      <c r="B46" s="5">
        <v>40</v>
      </c>
      <c r="C46" s="109" t="s">
        <v>84</v>
      </c>
      <c r="D46" s="45"/>
      <c r="E46" s="41"/>
      <c r="F46" s="41"/>
      <c r="G46" s="41">
        <f>0.4</f>
        <v>0.4</v>
      </c>
      <c r="H46" s="51">
        <f t="shared" si="41"/>
        <v>0.4</v>
      </c>
      <c r="I46" s="59">
        <f>6.06</f>
        <v>6.06</v>
      </c>
      <c r="J46" s="45"/>
      <c r="K46" s="41"/>
      <c r="L46" s="41"/>
      <c r="M46" s="41">
        <f>0.65</f>
        <v>0.65</v>
      </c>
      <c r="N46" s="51">
        <f t="shared" si="42"/>
        <v>0.65</v>
      </c>
      <c r="O46" s="56">
        <f>7.88</f>
        <v>7.88</v>
      </c>
      <c r="P46" s="45"/>
      <c r="Q46" s="41"/>
      <c r="R46" s="41"/>
      <c r="S46" s="41">
        <f>1</f>
        <v>1</v>
      </c>
      <c r="T46" s="51">
        <f t="shared" si="43"/>
        <v>1</v>
      </c>
      <c r="U46" s="56">
        <f>6.62</f>
        <v>6.62</v>
      </c>
      <c r="V46" s="45"/>
      <c r="W46" s="41"/>
      <c r="X46" s="41"/>
      <c r="Y46" s="41">
        <f>0.75</f>
        <v>0.75</v>
      </c>
      <c r="Z46" s="51">
        <f t="shared" si="44"/>
        <v>0.75</v>
      </c>
      <c r="AA46" s="56">
        <f>4.93</f>
        <v>4.93</v>
      </c>
      <c r="AB46" s="45"/>
      <c r="AC46" s="41"/>
      <c r="AD46" s="41"/>
      <c r="AE46" s="41">
        <f>0.31</f>
        <v>0.31</v>
      </c>
      <c r="AF46" s="51">
        <f t="shared" si="45"/>
        <v>0.31</v>
      </c>
      <c r="AG46" s="59">
        <f>5.44</f>
        <v>5.44</v>
      </c>
      <c r="AH46" s="146">
        <f t="shared" si="73"/>
        <v>0.622</v>
      </c>
      <c r="AI46" s="147">
        <f t="shared" si="46"/>
        <v>6.1859999999999999</v>
      </c>
      <c r="AJ46" s="123"/>
      <c r="AK46" s="124" t="e">
        <f t="shared" si="74"/>
        <v>#DIV/0!</v>
      </c>
      <c r="AL46" s="130">
        <f>(H46/$AL$2)*100</f>
        <v>5.3333333333333339</v>
      </c>
      <c r="AM46" s="131">
        <f t="shared" si="47"/>
        <v>4.7058823529411766</v>
      </c>
      <c r="AN46" s="110">
        <f>6.25</f>
        <v>6.25</v>
      </c>
      <c r="AO46" s="67">
        <f t="shared" si="49"/>
        <v>6.8750000000000009</v>
      </c>
      <c r="AP46" s="62">
        <f>(AH46/AO46)*100</f>
        <v>9.0472727272727269</v>
      </c>
      <c r="AQ46" s="69">
        <f t="shared" si="51"/>
        <v>6.5625</v>
      </c>
      <c r="AR46" s="64">
        <f t="shared" si="52"/>
        <v>9.4780952380952375</v>
      </c>
      <c r="AS46" s="69">
        <f t="shared" si="53"/>
        <v>6.25</v>
      </c>
      <c r="AT46" s="64">
        <f>(AH46/AS46)*100</f>
        <v>9.952</v>
      </c>
      <c r="AU46" s="69">
        <f t="shared" si="55"/>
        <v>6.125</v>
      </c>
      <c r="AV46" s="64">
        <f t="shared" si="56"/>
        <v>10.155102040816326</v>
      </c>
      <c r="AW46" s="69">
        <f t="shared" si="57"/>
        <v>5.9375</v>
      </c>
      <c r="AX46" s="64">
        <f t="shared" si="58"/>
        <v>10.475789473684211</v>
      </c>
      <c r="AY46" s="69">
        <f t="shared" si="59"/>
        <v>5.625</v>
      </c>
      <c r="AZ46" s="64">
        <f t="shared" si="60"/>
        <v>11.057777777777778</v>
      </c>
      <c r="BA46" s="69">
        <f t="shared" si="61"/>
        <v>5.5</v>
      </c>
      <c r="BB46" s="64">
        <f t="shared" si="62"/>
        <v>11.309090909090909</v>
      </c>
      <c r="BC46" s="69">
        <f t="shared" si="63"/>
        <v>5.3125</v>
      </c>
      <c r="BD46" s="64">
        <f t="shared" si="64"/>
        <v>11.708235294117648</v>
      </c>
      <c r="BE46" s="69">
        <f t="shared" si="65"/>
        <v>5</v>
      </c>
      <c r="BF46" s="64">
        <f t="shared" si="66"/>
        <v>12.44</v>
      </c>
      <c r="BG46" s="69">
        <f t="shared" si="67"/>
        <v>4.375</v>
      </c>
      <c r="BH46" s="64">
        <f t="shared" si="68"/>
        <v>14.217142857142855</v>
      </c>
      <c r="BI46" s="69">
        <f t="shared" si="69"/>
        <v>3.75</v>
      </c>
      <c r="BJ46" s="64">
        <f t="shared" si="70"/>
        <v>16.586666666666666</v>
      </c>
      <c r="BK46" s="69">
        <f t="shared" si="71"/>
        <v>3.125</v>
      </c>
      <c r="BL46" s="64">
        <f t="shared" si="72"/>
        <v>19.904</v>
      </c>
    </row>
    <row r="47" spans="2:64" x14ac:dyDescent="0.2">
      <c r="B47" s="5">
        <v>41</v>
      </c>
      <c r="C47" s="109" t="s">
        <v>217</v>
      </c>
      <c r="D47" s="45"/>
      <c r="E47" s="41"/>
      <c r="F47" s="41">
        <f>0.81</f>
        <v>0.81</v>
      </c>
      <c r="G47" s="41"/>
      <c r="H47" s="51">
        <f t="shared" si="41"/>
        <v>0.81</v>
      </c>
      <c r="I47" s="59">
        <f>1.54</f>
        <v>1.54</v>
      </c>
      <c r="J47" s="45"/>
      <c r="K47" s="41"/>
      <c r="L47" s="41">
        <f>0.79</f>
        <v>0.79</v>
      </c>
      <c r="M47" s="41"/>
      <c r="N47" s="51">
        <f t="shared" si="42"/>
        <v>0.79</v>
      </c>
      <c r="O47" s="56">
        <f>1.28</f>
        <v>1.28</v>
      </c>
      <c r="P47" s="45"/>
      <c r="Q47" s="41"/>
      <c r="R47" s="41">
        <f>0.36</f>
        <v>0.36</v>
      </c>
      <c r="S47" s="41"/>
      <c r="T47" s="51">
        <f t="shared" si="43"/>
        <v>0.36</v>
      </c>
      <c r="U47" s="56">
        <f>0.6</f>
        <v>0.6</v>
      </c>
      <c r="V47" s="45"/>
      <c r="W47" s="41"/>
      <c r="X47" s="41"/>
      <c r="Y47" s="41"/>
      <c r="Z47" s="51">
        <f t="shared" si="44"/>
        <v>0</v>
      </c>
      <c r="AA47" s="56">
        <f>0</f>
        <v>0</v>
      </c>
      <c r="AB47" s="45"/>
      <c r="AC47" s="41"/>
      <c r="AD47" s="41"/>
      <c r="AE47" s="41"/>
      <c r="AF47" s="51">
        <f t="shared" si="45"/>
        <v>0</v>
      </c>
      <c r="AG47" s="59">
        <f>0</f>
        <v>0</v>
      </c>
      <c r="AH47" s="146">
        <f t="shared" si="73"/>
        <v>0.39200000000000002</v>
      </c>
      <c r="AI47" s="147">
        <f t="shared" si="46"/>
        <v>0.68400000000000005</v>
      </c>
      <c r="AJ47" s="123"/>
      <c r="AK47" s="124" t="e">
        <f t="shared" si="74"/>
        <v>#DIV/0!</v>
      </c>
      <c r="AL47" s="123">
        <f t="shared" si="75"/>
        <v>10.8</v>
      </c>
      <c r="AM47" s="124">
        <f t="shared" si="47"/>
        <v>9.529411764705884</v>
      </c>
      <c r="AN47" s="110">
        <f>53.25</f>
        <v>53.25</v>
      </c>
      <c r="AO47" s="67">
        <f t="shared" si="49"/>
        <v>58.575000000000003</v>
      </c>
      <c r="AP47" s="62">
        <f t="shared" si="50"/>
        <v>0.66922748612889449</v>
      </c>
      <c r="AQ47" s="69">
        <f t="shared" si="51"/>
        <v>55.912500000000001</v>
      </c>
      <c r="AR47" s="64">
        <f t="shared" si="52"/>
        <v>0.70109546165884196</v>
      </c>
      <c r="AS47" s="69">
        <f t="shared" si="53"/>
        <v>53.25</v>
      </c>
      <c r="AT47" s="64">
        <f t="shared" si="54"/>
        <v>0.73615023474178409</v>
      </c>
      <c r="AU47" s="69">
        <f t="shared" si="55"/>
        <v>52.185000000000002</v>
      </c>
      <c r="AV47" s="64">
        <f t="shared" si="56"/>
        <v>0.75117370892018775</v>
      </c>
      <c r="AW47" s="69">
        <f t="shared" si="57"/>
        <v>50.587499999999999</v>
      </c>
      <c r="AX47" s="64">
        <f t="shared" si="58"/>
        <v>0.77489498393872014</v>
      </c>
      <c r="AY47" s="69">
        <f t="shared" si="59"/>
        <v>47.925000000000004</v>
      </c>
      <c r="AZ47" s="64">
        <f t="shared" si="60"/>
        <v>0.81794470526864882</v>
      </c>
      <c r="BA47" s="69">
        <f t="shared" si="61"/>
        <v>46.86</v>
      </c>
      <c r="BB47" s="64">
        <f t="shared" si="62"/>
        <v>0.83653435766111828</v>
      </c>
      <c r="BC47" s="69">
        <f t="shared" si="63"/>
        <v>45.262499999999996</v>
      </c>
      <c r="BD47" s="64">
        <f t="shared" si="64"/>
        <v>0.86605909969621664</v>
      </c>
      <c r="BE47" s="69">
        <f t="shared" si="65"/>
        <v>42.6</v>
      </c>
      <c r="BF47" s="64">
        <f t="shared" si="66"/>
        <v>0.92018779342723012</v>
      </c>
      <c r="BG47" s="69">
        <f t="shared" si="67"/>
        <v>37.274999999999999</v>
      </c>
      <c r="BH47" s="64">
        <f t="shared" si="68"/>
        <v>1.051643192488263</v>
      </c>
      <c r="BI47" s="69">
        <f t="shared" si="69"/>
        <v>31.95</v>
      </c>
      <c r="BJ47" s="64">
        <f t="shared" si="70"/>
        <v>1.2269170579029736</v>
      </c>
      <c r="BK47" s="69">
        <f t="shared" si="71"/>
        <v>26.625</v>
      </c>
      <c r="BL47" s="64">
        <f t="shared" si="72"/>
        <v>1.4723004694835682</v>
      </c>
    </row>
    <row r="48" spans="2:64" x14ac:dyDescent="0.2">
      <c r="B48" s="5">
        <v>42</v>
      </c>
      <c r="C48" s="109" t="s">
        <v>218</v>
      </c>
      <c r="D48" s="45"/>
      <c r="E48" s="41">
        <f>0.3</f>
        <v>0.3</v>
      </c>
      <c r="F48" s="41"/>
      <c r="G48" s="41">
        <f>0.4</f>
        <v>0.4</v>
      </c>
      <c r="H48" s="51">
        <f t="shared" si="41"/>
        <v>0.7</v>
      </c>
      <c r="I48" s="59">
        <f>1.28+1.97</f>
        <v>3.25</v>
      </c>
      <c r="J48" s="45"/>
      <c r="K48" s="41">
        <f>0.25</f>
        <v>0.25</v>
      </c>
      <c r="L48" s="41"/>
      <c r="M48" s="41">
        <f>0.35</f>
        <v>0.35</v>
      </c>
      <c r="N48" s="51">
        <f t="shared" si="42"/>
        <v>0.6</v>
      </c>
      <c r="O48" s="56">
        <f>0.93+1.37</f>
        <v>2.3000000000000003</v>
      </c>
      <c r="P48" s="45"/>
      <c r="Q48" s="41">
        <f>0.25</f>
        <v>0.25</v>
      </c>
      <c r="R48" s="41"/>
      <c r="S48" s="41">
        <f>0.32</f>
        <v>0.32</v>
      </c>
      <c r="T48" s="51">
        <f t="shared" si="43"/>
        <v>0.57000000000000006</v>
      </c>
      <c r="U48" s="56">
        <f>0.75+1</f>
        <v>1.75</v>
      </c>
      <c r="V48" s="45"/>
      <c r="W48" s="41"/>
      <c r="X48" s="41"/>
      <c r="Y48" s="41">
        <f>0.25</f>
        <v>0.25</v>
      </c>
      <c r="Z48" s="51">
        <f t="shared" si="44"/>
        <v>0.25</v>
      </c>
      <c r="AA48" s="56">
        <v>0.79</v>
      </c>
      <c r="AB48" s="45"/>
      <c r="AC48" s="41"/>
      <c r="AD48" s="41"/>
      <c r="AE48" s="41"/>
      <c r="AF48" s="51">
        <f t="shared" si="45"/>
        <v>0</v>
      </c>
      <c r="AG48" s="59"/>
      <c r="AH48" s="146">
        <f t="shared" si="73"/>
        <v>0.42400000000000004</v>
      </c>
      <c r="AI48" s="147">
        <f t="shared" si="46"/>
        <v>2.0225</v>
      </c>
      <c r="AJ48" s="123"/>
      <c r="AK48" s="124" t="e">
        <f t="shared" si="74"/>
        <v>#DIV/0!</v>
      </c>
      <c r="AL48" s="123">
        <f t="shared" si="75"/>
        <v>9.3333333333333321</v>
      </c>
      <c r="AM48" s="124">
        <f t="shared" si="47"/>
        <v>8.235294117647058</v>
      </c>
      <c r="AN48" s="110">
        <f>21.8</f>
        <v>21.8</v>
      </c>
      <c r="AO48" s="67">
        <f t="shared" si="49"/>
        <v>23.980000000000004</v>
      </c>
      <c r="AP48" s="62">
        <f t="shared" si="50"/>
        <v>1.7681401167639701</v>
      </c>
      <c r="AQ48" s="69">
        <f t="shared" si="51"/>
        <v>22.89</v>
      </c>
      <c r="AR48" s="64">
        <f t="shared" si="52"/>
        <v>1.8523372651813019</v>
      </c>
      <c r="AS48" s="69">
        <f t="shared" si="53"/>
        <v>21.8</v>
      </c>
      <c r="AT48" s="64">
        <f t="shared" si="54"/>
        <v>1.9449541284403671</v>
      </c>
      <c r="AU48" s="69">
        <f t="shared" si="55"/>
        <v>21.364000000000001</v>
      </c>
      <c r="AV48" s="64">
        <f t="shared" si="56"/>
        <v>1.9846470698371093</v>
      </c>
      <c r="AW48" s="69">
        <f t="shared" si="57"/>
        <v>20.71</v>
      </c>
      <c r="AX48" s="64">
        <f t="shared" si="58"/>
        <v>2.0473201352003865</v>
      </c>
      <c r="AY48" s="69">
        <f t="shared" si="59"/>
        <v>19.62</v>
      </c>
      <c r="AZ48" s="64">
        <f t="shared" si="60"/>
        <v>2.161060142711519</v>
      </c>
      <c r="BA48" s="69">
        <f t="shared" si="61"/>
        <v>19.184000000000001</v>
      </c>
      <c r="BB48" s="64">
        <f t="shared" si="62"/>
        <v>2.2101751459549628</v>
      </c>
      <c r="BC48" s="69">
        <f t="shared" si="63"/>
        <v>18.53</v>
      </c>
      <c r="BD48" s="64">
        <f t="shared" si="64"/>
        <v>2.2881813275769023</v>
      </c>
      <c r="BE48" s="69">
        <f t="shared" si="65"/>
        <v>17.440000000000001</v>
      </c>
      <c r="BF48" s="64">
        <f t="shared" si="66"/>
        <v>2.431192660550459</v>
      </c>
      <c r="BG48" s="69">
        <f t="shared" si="67"/>
        <v>15.26</v>
      </c>
      <c r="BH48" s="64">
        <f t="shared" si="68"/>
        <v>2.7785058977719532</v>
      </c>
      <c r="BI48" s="69">
        <f t="shared" si="69"/>
        <v>13.08</v>
      </c>
      <c r="BJ48" s="64">
        <f t="shared" si="70"/>
        <v>3.241590214067279</v>
      </c>
      <c r="BK48" s="69">
        <f t="shared" si="71"/>
        <v>10.9</v>
      </c>
      <c r="BL48" s="64">
        <f t="shared" si="72"/>
        <v>3.8899082568807342</v>
      </c>
    </row>
    <row r="49" spans="2:64" x14ac:dyDescent="0.2">
      <c r="B49" s="5">
        <v>43</v>
      </c>
      <c r="C49" s="109" t="s">
        <v>219</v>
      </c>
      <c r="D49" s="45"/>
      <c r="E49" s="41"/>
      <c r="F49" s="41"/>
      <c r="G49" s="41">
        <f>0.48</f>
        <v>0.48</v>
      </c>
      <c r="H49" s="51">
        <f t="shared" si="41"/>
        <v>0.48</v>
      </c>
      <c r="I49" s="59">
        <f>2.64</f>
        <v>2.64</v>
      </c>
      <c r="J49" s="45"/>
      <c r="K49" s="41"/>
      <c r="L49" s="41"/>
      <c r="M49" s="41">
        <f>0.22</f>
        <v>0.22</v>
      </c>
      <c r="N49" s="51">
        <f t="shared" si="42"/>
        <v>0.22</v>
      </c>
      <c r="O49" s="56">
        <f>0.77</f>
        <v>0.77</v>
      </c>
      <c r="P49" s="45"/>
      <c r="Q49" s="41"/>
      <c r="R49" s="41"/>
      <c r="S49" s="41">
        <f>0.382</f>
        <v>0.38200000000000001</v>
      </c>
      <c r="T49" s="51">
        <f t="shared" si="43"/>
        <v>0.38200000000000001</v>
      </c>
      <c r="U49" s="56">
        <f>0.72</f>
        <v>0.72</v>
      </c>
      <c r="V49" s="45"/>
      <c r="W49" s="41"/>
      <c r="X49" s="41"/>
      <c r="Y49" s="41">
        <f>0.4</f>
        <v>0.4</v>
      </c>
      <c r="Z49" s="51">
        <f t="shared" si="44"/>
        <v>0.4</v>
      </c>
      <c r="AA49" s="56">
        <f>0.4</f>
        <v>0.4</v>
      </c>
      <c r="AB49" s="45"/>
      <c r="AC49" s="41"/>
      <c r="AD49" s="41"/>
      <c r="AE49" s="41">
        <f>0.375</f>
        <v>0.375</v>
      </c>
      <c r="AF49" s="51">
        <f t="shared" si="45"/>
        <v>0.375</v>
      </c>
      <c r="AG49" s="59">
        <f>0.63</f>
        <v>0.63</v>
      </c>
      <c r="AH49" s="146">
        <f t="shared" si="73"/>
        <v>0.37139999999999995</v>
      </c>
      <c r="AI49" s="147">
        <f t="shared" si="46"/>
        <v>1.032</v>
      </c>
      <c r="AJ49" s="123"/>
      <c r="AK49" s="124" t="e">
        <f t="shared" si="74"/>
        <v>#DIV/0!</v>
      </c>
      <c r="AL49" s="123">
        <f t="shared" si="75"/>
        <v>6.4</v>
      </c>
      <c r="AM49" s="124">
        <f t="shared" si="47"/>
        <v>5.6470588235294112</v>
      </c>
      <c r="AN49" s="110">
        <f>17</f>
        <v>17</v>
      </c>
      <c r="AO49" s="67">
        <f t="shared" si="49"/>
        <v>18.700000000000003</v>
      </c>
      <c r="AP49" s="62">
        <f t="shared" si="50"/>
        <v>1.9860962566844913</v>
      </c>
      <c r="AQ49" s="69">
        <f t="shared" si="51"/>
        <v>17.850000000000001</v>
      </c>
      <c r="AR49" s="64">
        <f t="shared" si="52"/>
        <v>2.0806722689075627</v>
      </c>
      <c r="AS49" s="69">
        <f t="shared" si="53"/>
        <v>17</v>
      </c>
      <c r="AT49" s="64">
        <f t="shared" si="54"/>
        <v>2.1847058823529411</v>
      </c>
      <c r="AU49" s="69">
        <f t="shared" si="55"/>
        <v>16.66</v>
      </c>
      <c r="AV49" s="64">
        <f t="shared" si="56"/>
        <v>2.2292917166866744</v>
      </c>
      <c r="AW49" s="69">
        <f t="shared" si="57"/>
        <v>16.149999999999999</v>
      </c>
      <c r="AX49" s="64">
        <f t="shared" si="58"/>
        <v>2.2996904024767799</v>
      </c>
      <c r="AY49" s="69">
        <f t="shared" si="59"/>
        <v>15.3</v>
      </c>
      <c r="AZ49" s="64">
        <f t="shared" si="60"/>
        <v>2.4274509803921562</v>
      </c>
      <c r="BA49" s="69">
        <f t="shared" si="61"/>
        <v>14.96</v>
      </c>
      <c r="BB49" s="64">
        <f t="shared" si="62"/>
        <v>2.4826203208556148</v>
      </c>
      <c r="BC49" s="69">
        <f t="shared" si="63"/>
        <v>14.45</v>
      </c>
      <c r="BD49" s="64">
        <f t="shared" si="64"/>
        <v>2.5702422145328718</v>
      </c>
      <c r="BE49" s="69">
        <f t="shared" si="65"/>
        <v>13.600000000000001</v>
      </c>
      <c r="BF49" s="64">
        <f t="shared" si="66"/>
        <v>2.7308823529411757</v>
      </c>
      <c r="BG49" s="69">
        <f t="shared" si="67"/>
        <v>11.899999999999999</v>
      </c>
      <c r="BH49" s="64">
        <f t="shared" si="68"/>
        <v>3.1210084033613446</v>
      </c>
      <c r="BI49" s="69">
        <f t="shared" si="69"/>
        <v>10.199999999999999</v>
      </c>
      <c r="BJ49" s="64">
        <f t="shared" si="70"/>
        <v>3.6411764705882352</v>
      </c>
      <c r="BK49" s="69">
        <f t="shared" si="71"/>
        <v>8.5</v>
      </c>
      <c r="BL49" s="64">
        <f t="shared" si="72"/>
        <v>4.3694117647058821</v>
      </c>
    </row>
    <row r="50" spans="2:64" x14ac:dyDescent="0.2">
      <c r="B50" s="5">
        <v>44</v>
      </c>
      <c r="C50" s="109" t="s">
        <v>220</v>
      </c>
      <c r="D50" s="45"/>
      <c r="E50" s="41"/>
      <c r="F50" s="41"/>
      <c r="G50" s="41">
        <f>1.5</f>
        <v>1.5</v>
      </c>
      <c r="H50" s="51">
        <f t="shared" si="41"/>
        <v>1.5</v>
      </c>
      <c r="I50" s="59">
        <f>7.14</f>
        <v>7.14</v>
      </c>
      <c r="J50" s="45"/>
      <c r="K50" s="41"/>
      <c r="L50" s="41"/>
      <c r="M50" s="41">
        <v>0.5</v>
      </c>
      <c r="N50" s="51">
        <f t="shared" si="42"/>
        <v>0.5</v>
      </c>
      <c r="O50" s="56">
        <f>2.51</f>
        <v>2.5099999999999998</v>
      </c>
      <c r="P50" s="45"/>
      <c r="Q50" s="41"/>
      <c r="R50" s="41"/>
      <c r="S50" s="41">
        <f>0.25</f>
        <v>0.25</v>
      </c>
      <c r="T50" s="51">
        <f t="shared" si="43"/>
        <v>0.25</v>
      </c>
      <c r="U50" s="56">
        <f>1.16</f>
        <v>1.1599999999999999</v>
      </c>
      <c r="V50" s="45"/>
      <c r="W50" s="41"/>
      <c r="X50" s="41"/>
      <c r="Y50" s="41">
        <f>1</f>
        <v>1</v>
      </c>
      <c r="Z50" s="51">
        <f t="shared" si="44"/>
        <v>1</v>
      </c>
      <c r="AA50" s="56">
        <f>3.6</f>
        <v>3.6</v>
      </c>
      <c r="AB50" s="45"/>
      <c r="AC50" s="41"/>
      <c r="AD50" s="41"/>
      <c r="AE50" s="41"/>
      <c r="AF50" s="51">
        <f t="shared" si="45"/>
        <v>0</v>
      </c>
      <c r="AG50" s="59"/>
      <c r="AH50" s="146">
        <f t="shared" si="73"/>
        <v>0.65</v>
      </c>
      <c r="AI50" s="147">
        <f t="shared" si="46"/>
        <v>3.6024999999999996</v>
      </c>
      <c r="AJ50" s="123"/>
      <c r="AK50" s="124" t="e">
        <f t="shared" si="74"/>
        <v>#DIV/0!</v>
      </c>
      <c r="AL50" s="130">
        <f t="shared" si="75"/>
        <v>20</v>
      </c>
      <c r="AM50" s="131">
        <f t="shared" si="47"/>
        <v>17.647058823529413</v>
      </c>
      <c r="AN50" s="110">
        <f>20.2</f>
        <v>20.2</v>
      </c>
      <c r="AO50" s="67">
        <f t="shared" si="49"/>
        <v>22.220000000000002</v>
      </c>
      <c r="AP50" s="62">
        <f t="shared" si="50"/>
        <v>2.9252925292529248</v>
      </c>
      <c r="AQ50" s="69">
        <f t="shared" si="51"/>
        <v>21.21</v>
      </c>
      <c r="AR50" s="64">
        <f t="shared" si="52"/>
        <v>3.0645921735030646</v>
      </c>
      <c r="AS50" s="69">
        <f t="shared" si="53"/>
        <v>20.2</v>
      </c>
      <c r="AT50" s="64">
        <f t="shared" si="54"/>
        <v>3.217821782178218</v>
      </c>
      <c r="AU50" s="69">
        <f t="shared" si="55"/>
        <v>19.795999999999999</v>
      </c>
      <c r="AV50" s="64">
        <f t="shared" si="56"/>
        <v>3.2834916144675694</v>
      </c>
      <c r="AW50" s="69">
        <f t="shared" si="57"/>
        <v>19.189999999999998</v>
      </c>
      <c r="AX50" s="64">
        <f t="shared" si="58"/>
        <v>3.3871808233454934</v>
      </c>
      <c r="AY50" s="69">
        <f t="shared" si="59"/>
        <v>18.18</v>
      </c>
      <c r="AZ50" s="64">
        <f t="shared" si="60"/>
        <v>3.5753575357535752</v>
      </c>
      <c r="BA50" s="69">
        <f t="shared" si="61"/>
        <v>17.776</v>
      </c>
      <c r="BB50" s="64">
        <f t="shared" si="62"/>
        <v>3.6566156615661565</v>
      </c>
      <c r="BC50" s="69">
        <f t="shared" si="63"/>
        <v>17.169999999999998</v>
      </c>
      <c r="BD50" s="64">
        <f t="shared" si="64"/>
        <v>3.7856726849155509</v>
      </c>
      <c r="BE50" s="69">
        <f t="shared" si="65"/>
        <v>16.16</v>
      </c>
      <c r="BF50" s="64">
        <f t="shared" si="66"/>
        <v>4.0222772277227721</v>
      </c>
      <c r="BG50" s="69">
        <f t="shared" si="67"/>
        <v>14.139999999999999</v>
      </c>
      <c r="BH50" s="64">
        <f t="shared" si="68"/>
        <v>4.5968882602545973</v>
      </c>
      <c r="BI50" s="69">
        <f t="shared" si="69"/>
        <v>12.12</v>
      </c>
      <c r="BJ50" s="64">
        <f t="shared" si="70"/>
        <v>5.3630363036303637</v>
      </c>
      <c r="BK50" s="69">
        <f t="shared" si="71"/>
        <v>10.1</v>
      </c>
      <c r="BL50" s="64">
        <f t="shared" si="72"/>
        <v>6.435643564356436</v>
      </c>
    </row>
    <row r="51" spans="2:64" x14ac:dyDescent="0.2">
      <c r="B51" s="5">
        <v>45</v>
      </c>
      <c r="C51" s="109" t="s">
        <v>106</v>
      </c>
      <c r="D51" s="45"/>
      <c r="E51" s="41">
        <f>0.2</f>
        <v>0.2</v>
      </c>
      <c r="F51" s="41"/>
      <c r="G51" s="41">
        <f>0.18</f>
        <v>0.18</v>
      </c>
      <c r="H51" s="51">
        <f t="shared" si="41"/>
        <v>0.38</v>
      </c>
      <c r="I51" s="59">
        <f>4.42+3.86</f>
        <v>8.2799999999999994</v>
      </c>
      <c r="J51" s="45"/>
      <c r="K51" s="41">
        <f>0.00074</f>
        <v>7.3999999999999999E-4</v>
      </c>
      <c r="L51" s="41"/>
      <c r="M51" s="41">
        <f>0.18</f>
        <v>0.18</v>
      </c>
      <c r="N51" s="51">
        <f t="shared" si="42"/>
        <v>0.18073999999999998</v>
      </c>
      <c r="O51" s="56">
        <f>0.13+4.39</f>
        <v>4.5199999999999996</v>
      </c>
      <c r="P51" s="45"/>
      <c r="Q51" s="41">
        <f>0.2</f>
        <v>0.2</v>
      </c>
      <c r="R51" s="41"/>
      <c r="S51" s="41">
        <f>0.2</f>
        <v>0.2</v>
      </c>
      <c r="T51" s="51">
        <f t="shared" si="43"/>
        <v>0.4</v>
      </c>
      <c r="U51" s="56">
        <f>2.47+3.03</f>
        <v>5.5</v>
      </c>
      <c r="V51" s="45"/>
      <c r="W51" s="41">
        <f>0.15</f>
        <v>0.15</v>
      </c>
      <c r="X51" s="41"/>
      <c r="Y51" s="41">
        <f>0.2</f>
        <v>0.2</v>
      </c>
      <c r="Z51" s="51">
        <f t="shared" si="44"/>
        <v>0.35</v>
      </c>
      <c r="AA51" s="56">
        <f>1.25+2.19</f>
        <v>3.44</v>
      </c>
      <c r="AB51" s="45"/>
      <c r="AC51" s="41">
        <f>0.2</f>
        <v>0.2</v>
      </c>
      <c r="AD51" s="41"/>
      <c r="AE51" s="41">
        <f>0.22222</f>
        <v>0.22222</v>
      </c>
      <c r="AF51" s="51">
        <f t="shared" si="45"/>
        <v>0.42222000000000004</v>
      </c>
      <c r="AG51" s="59">
        <f>1.77+1.18</f>
        <v>2.95</v>
      </c>
      <c r="AH51" s="146">
        <f t="shared" si="73"/>
        <v>0.34659200000000001</v>
      </c>
      <c r="AI51" s="147">
        <f t="shared" si="46"/>
        <v>4.9379999999999997</v>
      </c>
      <c r="AJ51" s="123"/>
      <c r="AK51" s="124" t="e">
        <f t="shared" si="74"/>
        <v>#DIV/0!</v>
      </c>
      <c r="AL51" s="130">
        <f t="shared" si="75"/>
        <v>5.0666666666666664</v>
      </c>
      <c r="AM51" s="131">
        <f t="shared" si="47"/>
        <v>4.4705882352941178</v>
      </c>
      <c r="AN51" s="110">
        <f>4.64</f>
        <v>4.6399999999999997</v>
      </c>
      <c r="AO51" s="67">
        <f t="shared" si="49"/>
        <v>5.1040000000000001</v>
      </c>
      <c r="AP51" s="62">
        <f t="shared" si="50"/>
        <v>6.7905956112852657</v>
      </c>
      <c r="AQ51" s="69">
        <f t="shared" si="51"/>
        <v>4.8719999999999999</v>
      </c>
      <c r="AR51" s="64">
        <f t="shared" si="52"/>
        <v>7.1139573070607556</v>
      </c>
      <c r="AS51" s="69">
        <f t="shared" si="53"/>
        <v>4.6399999999999997</v>
      </c>
      <c r="AT51" s="64">
        <f t="shared" si="54"/>
        <v>7.4696551724137947</v>
      </c>
      <c r="AU51" s="69">
        <f t="shared" si="55"/>
        <v>4.5471999999999992</v>
      </c>
      <c r="AV51" s="64">
        <f t="shared" si="56"/>
        <v>7.6220971147079544</v>
      </c>
      <c r="AW51" s="69">
        <f t="shared" si="57"/>
        <v>4.4079999999999995</v>
      </c>
      <c r="AX51" s="64">
        <f t="shared" si="58"/>
        <v>7.8627949183303096</v>
      </c>
      <c r="AY51" s="69">
        <f t="shared" si="59"/>
        <v>4.1760000000000002</v>
      </c>
      <c r="AZ51" s="64">
        <f t="shared" si="60"/>
        <v>8.2996168582375471</v>
      </c>
      <c r="BA51" s="69">
        <f t="shared" si="61"/>
        <v>4.0831999999999997</v>
      </c>
      <c r="BB51" s="64">
        <f t="shared" si="62"/>
        <v>8.4882445141065848</v>
      </c>
      <c r="BC51" s="69">
        <f t="shared" si="63"/>
        <v>3.9439999999999995</v>
      </c>
      <c r="BD51" s="64">
        <f t="shared" si="64"/>
        <v>8.7878296146044637</v>
      </c>
      <c r="BE51" s="69">
        <f t="shared" si="65"/>
        <v>3.7119999999999997</v>
      </c>
      <c r="BF51" s="64">
        <f t="shared" si="66"/>
        <v>9.3370689655172416</v>
      </c>
      <c r="BG51" s="69">
        <f t="shared" si="67"/>
        <v>3.2479999999999998</v>
      </c>
      <c r="BH51" s="64">
        <f t="shared" si="68"/>
        <v>10.670935960591134</v>
      </c>
      <c r="BI51" s="69">
        <f t="shared" si="69"/>
        <v>2.7839999999999998</v>
      </c>
      <c r="BJ51" s="64">
        <f t="shared" si="70"/>
        <v>12.449425287356323</v>
      </c>
      <c r="BK51" s="69">
        <f t="shared" si="71"/>
        <v>2.3199999999999998</v>
      </c>
      <c r="BL51" s="64">
        <f t="shared" si="72"/>
        <v>14.939310344827589</v>
      </c>
    </row>
    <row r="52" spans="2:64" x14ac:dyDescent="0.2">
      <c r="B52" s="5">
        <v>46</v>
      </c>
      <c r="C52" s="109" t="s">
        <v>221</v>
      </c>
      <c r="D52" s="45"/>
      <c r="E52" s="41">
        <f>0.3</f>
        <v>0.3</v>
      </c>
      <c r="F52" s="41"/>
      <c r="G52" s="41">
        <f>0.3</f>
        <v>0.3</v>
      </c>
      <c r="H52" s="51">
        <f t="shared" si="41"/>
        <v>0.6</v>
      </c>
      <c r="I52" s="59">
        <f>3.33+3.26</f>
        <v>6.59</v>
      </c>
      <c r="J52" s="45"/>
      <c r="K52" s="41">
        <f>0.3</f>
        <v>0.3</v>
      </c>
      <c r="L52" s="41"/>
      <c r="M52" s="41">
        <f>0.3</f>
        <v>0.3</v>
      </c>
      <c r="N52" s="51">
        <f t="shared" si="42"/>
        <v>0.6</v>
      </c>
      <c r="O52" s="56">
        <f>3.31+3.43</f>
        <v>6.74</v>
      </c>
      <c r="P52" s="45"/>
      <c r="Q52" s="41">
        <f>0.3</f>
        <v>0.3</v>
      </c>
      <c r="R52" s="41"/>
      <c r="S52" s="41">
        <f>0.3</f>
        <v>0.3</v>
      </c>
      <c r="T52" s="51">
        <f t="shared" si="43"/>
        <v>0.6</v>
      </c>
      <c r="U52" s="56">
        <f>3.45+3.3</f>
        <v>6.75</v>
      </c>
      <c r="V52" s="45"/>
      <c r="W52" s="41">
        <f>0.3</f>
        <v>0.3</v>
      </c>
      <c r="X52" s="41"/>
      <c r="Y52" s="41">
        <f>0.3</f>
        <v>0.3</v>
      </c>
      <c r="Z52" s="51">
        <f t="shared" si="44"/>
        <v>0.6</v>
      </c>
      <c r="AA52" s="56">
        <f>2.94+3.41</f>
        <v>6.35</v>
      </c>
      <c r="AB52" s="45"/>
      <c r="AC52" s="41">
        <f>0.3</f>
        <v>0.3</v>
      </c>
      <c r="AD52" s="41"/>
      <c r="AE52" s="41">
        <f>0.3</f>
        <v>0.3</v>
      </c>
      <c r="AF52" s="51">
        <f t="shared" si="45"/>
        <v>0.6</v>
      </c>
      <c r="AG52" s="59">
        <f>2.56+2.7</f>
        <v>5.26</v>
      </c>
      <c r="AH52" s="146">
        <f t="shared" si="73"/>
        <v>0.6</v>
      </c>
      <c r="AI52" s="147">
        <f t="shared" si="46"/>
        <v>6.3379999999999992</v>
      </c>
      <c r="AJ52" s="123"/>
      <c r="AK52" s="124" t="e">
        <f t="shared" si="74"/>
        <v>#DIV/0!</v>
      </c>
      <c r="AL52" s="130">
        <f t="shared" si="75"/>
        <v>8</v>
      </c>
      <c r="AM52" s="131">
        <f>(H52/$AM$2)*100</f>
        <v>7.0588235294117645</v>
      </c>
      <c r="AN52" s="110">
        <f>9.3</f>
        <v>9.3000000000000007</v>
      </c>
      <c r="AO52" s="67">
        <f t="shared" si="49"/>
        <v>10.230000000000002</v>
      </c>
      <c r="AP52" s="62">
        <f t="shared" si="50"/>
        <v>5.865102639296186</v>
      </c>
      <c r="AQ52" s="69">
        <f t="shared" si="51"/>
        <v>9.7650000000000006</v>
      </c>
      <c r="AR52" s="64">
        <f t="shared" si="52"/>
        <v>6.1443932411674336</v>
      </c>
      <c r="AS52" s="69">
        <f t="shared" si="53"/>
        <v>9.3000000000000007</v>
      </c>
      <c r="AT52" s="64">
        <f t="shared" si="54"/>
        <v>6.4516129032258061</v>
      </c>
      <c r="AU52" s="69">
        <f t="shared" si="55"/>
        <v>9.1140000000000008</v>
      </c>
      <c r="AV52" s="64">
        <f t="shared" si="56"/>
        <v>6.5832784726793934</v>
      </c>
      <c r="AW52" s="69">
        <f t="shared" si="57"/>
        <v>8.8350000000000009</v>
      </c>
      <c r="AX52" s="64">
        <f t="shared" si="58"/>
        <v>6.7911714770797955</v>
      </c>
      <c r="AY52" s="69">
        <f t="shared" si="59"/>
        <v>8.370000000000001</v>
      </c>
      <c r="AZ52" s="64">
        <f t="shared" si="60"/>
        <v>7.1684587813620055</v>
      </c>
      <c r="BA52" s="69">
        <f t="shared" si="61"/>
        <v>8.1840000000000011</v>
      </c>
      <c r="BB52" s="64">
        <f t="shared" si="62"/>
        <v>7.3313782991202334</v>
      </c>
      <c r="BC52" s="69">
        <f t="shared" si="63"/>
        <v>7.9050000000000002</v>
      </c>
      <c r="BD52" s="64">
        <f t="shared" si="64"/>
        <v>7.5901328273244779</v>
      </c>
      <c r="BE52" s="69">
        <f t="shared" si="65"/>
        <v>7.4400000000000013</v>
      </c>
      <c r="BF52" s="64">
        <f t="shared" si="66"/>
        <v>8.0645161290322562</v>
      </c>
      <c r="BG52" s="69">
        <f t="shared" si="67"/>
        <v>6.51</v>
      </c>
      <c r="BH52" s="64">
        <f t="shared" si="68"/>
        <v>9.216589861751153</v>
      </c>
      <c r="BI52" s="69">
        <f t="shared" si="69"/>
        <v>5.58</v>
      </c>
      <c r="BJ52" s="64">
        <f t="shared" si="70"/>
        <v>10.75268817204301</v>
      </c>
      <c r="BK52" s="69">
        <f t="shared" si="71"/>
        <v>4.6500000000000004</v>
      </c>
      <c r="BL52" s="64">
        <f t="shared" si="72"/>
        <v>12.903225806451612</v>
      </c>
    </row>
    <row r="53" spans="2:64" x14ac:dyDescent="0.2">
      <c r="B53" s="5">
        <v>47</v>
      </c>
      <c r="C53" s="109" t="s">
        <v>15</v>
      </c>
      <c r="D53" s="45"/>
      <c r="E53" s="41"/>
      <c r="F53" s="41">
        <f>0.021</f>
        <v>2.1000000000000001E-2</v>
      </c>
      <c r="G53" s="41">
        <f>0.049</f>
        <v>4.9000000000000002E-2</v>
      </c>
      <c r="H53" s="51">
        <f t="shared" si="41"/>
        <v>7.0000000000000007E-2</v>
      </c>
      <c r="I53" s="59">
        <f>1.05+2.8</f>
        <v>3.8499999999999996</v>
      </c>
      <c r="J53" s="45"/>
      <c r="K53" s="41"/>
      <c r="L53" s="41">
        <f>0.021</f>
        <v>2.1000000000000001E-2</v>
      </c>
      <c r="M53" s="41"/>
      <c r="N53" s="51">
        <f t="shared" si="42"/>
        <v>2.1000000000000001E-2</v>
      </c>
      <c r="O53" s="56">
        <f>0.51</f>
        <v>0.51</v>
      </c>
      <c r="P53" s="45"/>
      <c r="Q53" s="41">
        <f>0.16</f>
        <v>0.16</v>
      </c>
      <c r="R53" s="41"/>
      <c r="S53" s="41">
        <v>0.3</v>
      </c>
      <c r="T53" s="51">
        <f t="shared" si="43"/>
        <v>0.45999999999999996</v>
      </c>
      <c r="U53" s="56">
        <f>1.5+4.48</f>
        <v>5.98</v>
      </c>
      <c r="V53" s="45"/>
      <c r="W53" s="41">
        <f>0.15</f>
        <v>0.15</v>
      </c>
      <c r="X53" s="41"/>
      <c r="Y53" s="41">
        <f>0.57</f>
        <v>0.56999999999999995</v>
      </c>
      <c r="Z53" s="51">
        <f t="shared" si="44"/>
        <v>0.72</v>
      </c>
      <c r="AA53" s="56">
        <f>1.46+4.96</f>
        <v>6.42</v>
      </c>
      <c r="AB53" s="45"/>
      <c r="AC53" s="41">
        <f>0.12</f>
        <v>0.12</v>
      </c>
      <c r="AD53" s="41"/>
      <c r="AE53" s="41">
        <v>0.42</v>
      </c>
      <c r="AF53" s="51">
        <f t="shared" si="45"/>
        <v>0.54</v>
      </c>
      <c r="AG53" s="59">
        <f>1.34+4.35</f>
        <v>5.6899999999999995</v>
      </c>
      <c r="AH53" s="146">
        <f t="shared" si="73"/>
        <v>0.36219999999999997</v>
      </c>
      <c r="AI53" s="147">
        <f t="shared" si="46"/>
        <v>4.4899999999999993</v>
      </c>
      <c r="AJ53" s="123"/>
      <c r="AK53" s="124" t="e">
        <f t="shared" si="74"/>
        <v>#DIV/0!</v>
      </c>
      <c r="AL53" s="123">
        <f t="shared" si="75"/>
        <v>0.93333333333333346</v>
      </c>
      <c r="AM53" s="124">
        <f t="shared" si="47"/>
        <v>0.82352941176470595</v>
      </c>
      <c r="AN53" s="110">
        <f>1.71</f>
        <v>1.71</v>
      </c>
      <c r="AO53" s="67">
        <f t="shared" si="49"/>
        <v>1.881</v>
      </c>
      <c r="AP53" s="62">
        <f t="shared" si="50"/>
        <v>19.25571504518873</v>
      </c>
      <c r="AQ53" s="69">
        <f t="shared" si="51"/>
        <v>1.7955000000000001</v>
      </c>
      <c r="AR53" s="64">
        <f t="shared" si="52"/>
        <v>20.172653856864383</v>
      </c>
      <c r="AS53" s="69">
        <f t="shared" si="53"/>
        <v>1.71</v>
      </c>
      <c r="AT53" s="64">
        <f t="shared" si="54"/>
        <v>21.1812865497076</v>
      </c>
      <c r="AU53" s="69">
        <f t="shared" si="55"/>
        <v>1.6758</v>
      </c>
      <c r="AV53" s="64">
        <f t="shared" si="56"/>
        <v>21.613557703783265</v>
      </c>
      <c r="AW53" s="69">
        <f t="shared" si="57"/>
        <v>1.6244999999999998</v>
      </c>
      <c r="AX53" s="64">
        <f t="shared" si="58"/>
        <v>22.296091104955369</v>
      </c>
      <c r="AY53" s="69">
        <f t="shared" si="59"/>
        <v>1.5389999999999999</v>
      </c>
      <c r="AZ53" s="64">
        <f t="shared" si="60"/>
        <v>23.534762833008447</v>
      </c>
      <c r="BA53" s="69">
        <f t="shared" si="61"/>
        <v>1.5047999999999999</v>
      </c>
      <c r="BB53" s="64">
        <f t="shared" si="62"/>
        <v>24.06964380648591</v>
      </c>
      <c r="BC53" s="69">
        <f t="shared" si="63"/>
        <v>1.4535</v>
      </c>
      <c r="BD53" s="64">
        <f t="shared" si="64"/>
        <v>24.919160646714825</v>
      </c>
      <c r="BE53" s="69">
        <f t="shared" si="65"/>
        <v>1.3680000000000001</v>
      </c>
      <c r="BF53" s="64">
        <f t="shared" si="66"/>
        <v>26.476608187134499</v>
      </c>
      <c r="BG53" s="69">
        <f t="shared" si="67"/>
        <v>1.1969999999999998</v>
      </c>
      <c r="BH53" s="64">
        <f t="shared" si="68"/>
        <v>30.258980785296576</v>
      </c>
      <c r="BI53" s="69">
        <f t="shared" si="69"/>
        <v>1.026</v>
      </c>
      <c r="BJ53" s="64">
        <f t="shared" si="70"/>
        <v>35.302144249512665</v>
      </c>
      <c r="BK53" s="69">
        <f t="shared" si="71"/>
        <v>0.85499999999999998</v>
      </c>
      <c r="BL53" s="64">
        <f t="shared" si="72"/>
        <v>42.362573099415201</v>
      </c>
    </row>
    <row r="54" spans="2:64" x14ac:dyDescent="0.2">
      <c r="B54" s="5">
        <v>48</v>
      </c>
      <c r="C54" s="109" t="s">
        <v>116</v>
      </c>
      <c r="D54" s="45"/>
      <c r="E54" s="41"/>
      <c r="F54" s="41"/>
      <c r="G54" s="41">
        <f>1.05</f>
        <v>1.05</v>
      </c>
      <c r="H54" s="51">
        <f t="shared" si="41"/>
        <v>1.05</v>
      </c>
      <c r="I54" s="59">
        <f>2.88</f>
        <v>2.88</v>
      </c>
      <c r="J54" s="45"/>
      <c r="K54" s="41">
        <f>0.6</f>
        <v>0.6</v>
      </c>
      <c r="L54" s="41"/>
      <c r="M54" s="41">
        <f>0.45</f>
        <v>0.45</v>
      </c>
      <c r="N54" s="51">
        <f t="shared" si="42"/>
        <v>1.05</v>
      </c>
      <c r="O54" s="56">
        <f>1.64+1.25</f>
        <v>2.8899999999999997</v>
      </c>
      <c r="P54" s="45"/>
      <c r="Q54" s="41">
        <f>0.5</f>
        <v>0.5</v>
      </c>
      <c r="R54" s="41"/>
      <c r="S54" s="41">
        <f>1.5</f>
        <v>1.5</v>
      </c>
      <c r="T54" s="51">
        <f t="shared" si="43"/>
        <v>2</v>
      </c>
      <c r="U54" s="56">
        <f>1.32+3.51</f>
        <v>4.83</v>
      </c>
      <c r="V54" s="45"/>
      <c r="W54" s="41">
        <v>1.25</v>
      </c>
      <c r="X54" s="41"/>
      <c r="Y54" s="41">
        <f>1</f>
        <v>1</v>
      </c>
      <c r="Z54" s="51">
        <f t="shared" si="44"/>
        <v>2.25</v>
      </c>
      <c r="AA54" s="56">
        <f>3.55+3.13</f>
        <v>6.68</v>
      </c>
      <c r="AB54" s="45"/>
      <c r="AC54" s="41">
        <f>1</f>
        <v>1</v>
      </c>
      <c r="AD54" s="41"/>
      <c r="AE54" s="41">
        <f>1</f>
        <v>1</v>
      </c>
      <c r="AF54" s="51">
        <f t="shared" si="45"/>
        <v>2</v>
      </c>
      <c r="AG54" s="59">
        <f>3.77+0</f>
        <v>3.77</v>
      </c>
      <c r="AH54" s="146">
        <f t="shared" si="73"/>
        <v>1.67</v>
      </c>
      <c r="AI54" s="147">
        <f t="shared" si="46"/>
        <v>4.21</v>
      </c>
      <c r="AJ54" s="123"/>
      <c r="AK54" s="124" t="e">
        <f t="shared" si="74"/>
        <v>#DIV/0!</v>
      </c>
      <c r="AL54" s="123">
        <f t="shared" si="75"/>
        <v>14.000000000000002</v>
      </c>
      <c r="AM54" s="124">
        <f t="shared" si="47"/>
        <v>12.352941176470589</v>
      </c>
      <c r="AN54" s="110">
        <f>35</f>
        <v>35</v>
      </c>
      <c r="AO54" s="67">
        <f t="shared" si="49"/>
        <v>38.5</v>
      </c>
      <c r="AP54" s="62">
        <f t="shared" si="50"/>
        <v>4.3376623376623371</v>
      </c>
      <c r="AQ54" s="69">
        <f t="shared" si="51"/>
        <v>36.75</v>
      </c>
      <c r="AR54" s="64">
        <f t="shared" si="52"/>
        <v>4.5442176870748296</v>
      </c>
      <c r="AS54" s="69">
        <f t="shared" si="53"/>
        <v>35</v>
      </c>
      <c r="AT54" s="64">
        <f t="shared" si="54"/>
        <v>4.7714285714285705</v>
      </c>
      <c r="AU54" s="69">
        <f t="shared" si="55"/>
        <v>34.299999999999997</v>
      </c>
      <c r="AV54" s="64">
        <f t="shared" si="56"/>
        <v>4.8688046647230321</v>
      </c>
      <c r="AW54" s="69">
        <f t="shared" si="57"/>
        <v>33.25</v>
      </c>
      <c r="AX54" s="64">
        <f t="shared" si="58"/>
        <v>5.022556390977444</v>
      </c>
      <c r="AY54" s="69">
        <f t="shared" si="59"/>
        <v>31.5</v>
      </c>
      <c r="AZ54" s="64">
        <f t="shared" si="60"/>
        <v>5.3015873015873014</v>
      </c>
      <c r="BA54" s="69">
        <f t="shared" si="61"/>
        <v>30.8</v>
      </c>
      <c r="BB54" s="64">
        <f t="shared" si="62"/>
        <v>5.4220779220779214</v>
      </c>
      <c r="BC54" s="69">
        <f t="shared" si="63"/>
        <v>29.75</v>
      </c>
      <c r="BD54" s="64">
        <f t="shared" si="64"/>
        <v>5.6134453781512601</v>
      </c>
      <c r="BE54" s="69">
        <f t="shared" si="65"/>
        <v>28</v>
      </c>
      <c r="BF54" s="64">
        <f t="shared" si="66"/>
        <v>5.9642857142857144</v>
      </c>
      <c r="BG54" s="69">
        <f t="shared" si="67"/>
        <v>24.5</v>
      </c>
      <c r="BH54" s="64">
        <f t="shared" si="68"/>
        <v>6.8163265306122449</v>
      </c>
      <c r="BI54" s="69">
        <f t="shared" si="69"/>
        <v>21</v>
      </c>
      <c r="BJ54" s="64">
        <f t="shared" si="70"/>
        <v>7.9523809523809526</v>
      </c>
      <c r="BK54" s="69">
        <f t="shared" si="71"/>
        <v>17.5</v>
      </c>
      <c r="BL54" s="64">
        <f t="shared" si="72"/>
        <v>9.5428571428571409</v>
      </c>
    </row>
    <row r="55" spans="2:64" x14ac:dyDescent="0.2">
      <c r="B55" s="5">
        <v>49</v>
      </c>
      <c r="C55" s="109" t="s">
        <v>222</v>
      </c>
      <c r="D55" s="45"/>
      <c r="E55" s="41"/>
      <c r="F55" s="41"/>
      <c r="G55" s="41">
        <f>1.1</f>
        <v>1.1000000000000001</v>
      </c>
      <c r="H55" s="51">
        <f t="shared" si="41"/>
        <v>1.1000000000000001</v>
      </c>
      <c r="I55" s="59">
        <f>4.98</f>
        <v>4.9800000000000004</v>
      </c>
      <c r="J55" s="45"/>
      <c r="K55" s="41"/>
      <c r="L55" s="41"/>
      <c r="M55" s="41">
        <f>0.86</f>
        <v>0.86</v>
      </c>
      <c r="N55" s="51">
        <f t="shared" si="42"/>
        <v>0.86</v>
      </c>
      <c r="O55" s="56">
        <f>4.3</f>
        <v>4.3</v>
      </c>
      <c r="P55" s="45"/>
      <c r="Q55" s="41"/>
      <c r="R55" s="41"/>
      <c r="S55" s="41">
        <f>0.7</f>
        <v>0.7</v>
      </c>
      <c r="T55" s="51">
        <f t="shared" si="43"/>
        <v>0.7</v>
      </c>
      <c r="U55" s="56">
        <f>3.7</f>
        <v>3.7</v>
      </c>
      <c r="V55" s="45"/>
      <c r="W55" s="41"/>
      <c r="X55" s="41"/>
      <c r="Y55" s="41">
        <f>0.75</f>
        <v>0.75</v>
      </c>
      <c r="Z55" s="51">
        <f t="shared" si="44"/>
        <v>0.75</v>
      </c>
      <c r="AA55" s="56">
        <f>2.46</f>
        <v>2.46</v>
      </c>
      <c r="AB55" s="45"/>
      <c r="AC55" s="41"/>
      <c r="AD55" s="41"/>
      <c r="AE55" s="41">
        <f>1</f>
        <v>1</v>
      </c>
      <c r="AF55" s="51">
        <f t="shared" si="45"/>
        <v>1</v>
      </c>
      <c r="AG55" s="59">
        <f>2.37</f>
        <v>2.37</v>
      </c>
      <c r="AH55" s="146">
        <f t="shared" si="73"/>
        <v>0.88200000000000001</v>
      </c>
      <c r="AI55" s="147">
        <f t="shared" si="46"/>
        <v>3.5620000000000003</v>
      </c>
      <c r="AJ55" s="123"/>
      <c r="AK55" s="124" t="e">
        <f t="shared" si="74"/>
        <v>#DIV/0!</v>
      </c>
      <c r="AL55" s="123">
        <f t="shared" si="75"/>
        <v>14.666666666666666</v>
      </c>
      <c r="AM55" s="124">
        <f t="shared" si="47"/>
        <v>12.941176470588237</v>
      </c>
      <c r="AN55" s="110">
        <f>24.5</f>
        <v>24.5</v>
      </c>
      <c r="AO55" s="67">
        <f t="shared" si="49"/>
        <v>26.950000000000003</v>
      </c>
      <c r="AP55" s="62">
        <f t="shared" si="50"/>
        <v>3.2727272727272725</v>
      </c>
      <c r="AQ55" s="69">
        <f t="shared" si="51"/>
        <v>25.725000000000001</v>
      </c>
      <c r="AR55" s="64">
        <f t="shared" si="52"/>
        <v>3.4285714285714288</v>
      </c>
      <c r="AS55" s="69">
        <f t="shared" si="53"/>
        <v>24.5</v>
      </c>
      <c r="AT55" s="64">
        <f t="shared" si="54"/>
        <v>3.5999999999999996</v>
      </c>
      <c r="AU55" s="69">
        <f t="shared" si="55"/>
        <v>24.009999999999998</v>
      </c>
      <c r="AV55" s="64">
        <f t="shared" si="56"/>
        <v>3.6734693877551026</v>
      </c>
      <c r="AW55" s="69">
        <f t="shared" si="57"/>
        <v>23.274999999999999</v>
      </c>
      <c r="AX55" s="64">
        <f t="shared" si="58"/>
        <v>3.7894736842105265</v>
      </c>
      <c r="AY55" s="69">
        <f t="shared" si="59"/>
        <v>22.05</v>
      </c>
      <c r="AZ55" s="64">
        <f t="shared" si="60"/>
        <v>4</v>
      </c>
      <c r="BA55" s="69">
        <f t="shared" si="61"/>
        <v>21.56</v>
      </c>
      <c r="BB55" s="64">
        <f t="shared" si="62"/>
        <v>4.0909090909090908</v>
      </c>
      <c r="BC55" s="69">
        <f t="shared" si="63"/>
        <v>20.824999999999999</v>
      </c>
      <c r="BD55" s="64">
        <f t="shared" si="64"/>
        <v>4.2352941176470598</v>
      </c>
      <c r="BE55" s="69">
        <f t="shared" si="65"/>
        <v>19.600000000000001</v>
      </c>
      <c r="BF55" s="64">
        <f t="shared" si="66"/>
        <v>4.5</v>
      </c>
      <c r="BG55" s="69">
        <f t="shared" si="67"/>
        <v>17.149999999999999</v>
      </c>
      <c r="BH55" s="64">
        <f t="shared" si="68"/>
        <v>5.1428571428571432</v>
      </c>
      <c r="BI55" s="69">
        <f t="shared" si="69"/>
        <v>14.7</v>
      </c>
      <c r="BJ55" s="64">
        <f t="shared" si="70"/>
        <v>6.0000000000000009</v>
      </c>
      <c r="BK55" s="69">
        <f t="shared" si="71"/>
        <v>12.25</v>
      </c>
      <c r="BL55" s="64">
        <f t="shared" si="72"/>
        <v>7.1999999999999993</v>
      </c>
    </row>
    <row r="56" spans="2:64" x14ac:dyDescent="0.2">
      <c r="B56" s="5">
        <v>50</v>
      </c>
      <c r="C56" s="109" t="s">
        <v>223</v>
      </c>
      <c r="D56" s="45"/>
      <c r="E56" s="41">
        <f>0.45</f>
        <v>0.45</v>
      </c>
      <c r="F56" s="41"/>
      <c r="G56" s="41">
        <f>0.54</f>
        <v>0.54</v>
      </c>
      <c r="H56" s="51">
        <f t="shared" si="41"/>
        <v>0.99</v>
      </c>
      <c r="I56" s="59">
        <f>3+3.58</f>
        <v>6.58</v>
      </c>
      <c r="J56" s="45"/>
      <c r="K56" s="41">
        <f>0.48</f>
        <v>0.48</v>
      </c>
      <c r="L56" s="41"/>
      <c r="M56" s="41">
        <f>0.57</f>
        <v>0.56999999999999995</v>
      </c>
      <c r="N56" s="51">
        <f t="shared" si="42"/>
        <v>1.0499999999999998</v>
      </c>
      <c r="O56" s="56">
        <f>3.08+3.45</f>
        <v>6.53</v>
      </c>
      <c r="P56" s="45"/>
      <c r="Q56" s="41">
        <f>0.96</f>
        <v>0.96</v>
      </c>
      <c r="R56" s="41"/>
      <c r="S56" s="41">
        <f>0.56</f>
        <v>0.56000000000000005</v>
      </c>
      <c r="T56" s="51">
        <f t="shared" si="43"/>
        <v>1.52</v>
      </c>
      <c r="U56" s="56">
        <f>2.69+3.27</f>
        <v>5.96</v>
      </c>
      <c r="V56" s="45"/>
      <c r="W56" s="41">
        <f>0.55</f>
        <v>0.55000000000000004</v>
      </c>
      <c r="X56" s="41"/>
      <c r="Y56" s="41">
        <f>0.97</f>
        <v>0.97</v>
      </c>
      <c r="Z56" s="51">
        <f t="shared" si="44"/>
        <v>1.52</v>
      </c>
      <c r="AA56" s="56">
        <f>1.76+3.01</f>
        <v>4.7699999999999996</v>
      </c>
      <c r="AB56" s="45"/>
      <c r="AC56" s="41">
        <f>0.83</f>
        <v>0.83</v>
      </c>
      <c r="AD56" s="41"/>
      <c r="AE56" s="41">
        <f>0.96</f>
        <v>0.96</v>
      </c>
      <c r="AF56" s="51">
        <f t="shared" si="45"/>
        <v>1.79</v>
      </c>
      <c r="AG56" s="59">
        <f>2.29+3.05</f>
        <v>5.34</v>
      </c>
      <c r="AH56" s="146">
        <f t="shared" si="73"/>
        <v>1.3740000000000001</v>
      </c>
      <c r="AI56" s="147">
        <f t="shared" si="46"/>
        <v>5.8360000000000003</v>
      </c>
      <c r="AJ56" s="123"/>
      <c r="AK56" s="124" t="e">
        <f t="shared" si="74"/>
        <v>#DIV/0!</v>
      </c>
      <c r="AL56" s="130">
        <f t="shared" si="75"/>
        <v>13.200000000000001</v>
      </c>
      <c r="AM56" s="131">
        <f t="shared" si="47"/>
        <v>11.647058823529411</v>
      </c>
      <c r="AN56" s="110">
        <f>15.1</f>
        <v>15.1</v>
      </c>
      <c r="AO56" s="67">
        <f t="shared" si="49"/>
        <v>16.61</v>
      </c>
      <c r="AP56" s="62">
        <f t="shared" si="50"/>
        <v>8.2721252257676117</v>
      </c>
      <c r="AQ56" s="69">
        <f t="shared" si="51"/>
        <v>15.855</v>
      </c>
      <c r="AR56" s="64">
        <f t="shared" si="52"/>
        <v>8.6660359508041633</v>
      </c>
      <c r="AS56" s="69">
        <f t="shared" si="53"/>
        <v>15.1</v>
      </c>
      <c r="AT56" s="64">
        <f t="shared" si="54"/>
        <v>9.0993377483443716</v>
      </c>
      <c r="AU56" s="69">
        <f t="shared" si="55"/>
        <v>14.798</v>
      </c>
      <c r="AV56" s="64">
        <f t="shared" si="56"/>
        <v>9.2850385187187463</v>
      </c>
      <c r="AW56" s="69">
        <f t="shared" si="57"/>
        <v>14.344999999999999</v>
      </c>
      <c r="AX56" s="64">
        <f t="shared" si="58"/>
        <v>9.5782502614151284</v>
      </c>
      <c r="AY56" s="69">
        <f t="shared" si="59"/>
        <v>13.59</v>
      </c>
      <c r="AZ56" s="64">
        <f t="shared" si="60"/>
        <v>10.110375275938191</v>
      </c>
      <c r="BA56" s="69">
        <f t="shared" si="61"/>
        <v>13.288</v>
      </c>
      <c r="BB56" s="64">
        <f t="shared" si="62"/>
        <v>10.340156532209512</v>
      </c>
      <c r="BC56" s="69">
        <f t="shared" si="63"/>
        <v>12.834999999999999</v>
      </c>
      <c r="BD56" s="64">
        <f t="shared" si="64"/>
        <v>10.705103233346321</v>
      </c>
      <c r="BE56" s="69">
        <f t="shared" si="65"/>
        <v>12.08</v>
      </c>
      <c r="BF56" s="64">
        <f t="shared" si="66"/>
        <v>11.374172185430464</v>
      </c>
      <c r="BG56" s="69">
        <f t="shared" si="67"/>
        <v>10.569999999999999</v>
      </c>
      <c r="BH56" s="64">
        <f t="shared" si="68"/>
        <v>12.999053926206248</v>
      </c>
      <c r="BI56" s="69">
        <f t="shared" si="69"/>
        <v>9.0599999999999987</v>
      </c>
      <c r="BJ56" s="64">
        <f t="shared" si="70"/>
        <v>15.165562913907287</v>
      </c>
      <c r="BK56" s="69">
        <f t="shared" si="71"/>
        <v>7.55</v>
      </c>
      <c r="BL56" s="64">
        <f t="shared" si="72"/>
        <v>18.198675496688743</v>
      </c>
    </row>
    <row r="57" spans="2:64" x14ac:dyDescent="0.2">
      <c r="B57" s="5">
        <v>51</v>
      </c>
      <c r="C57" s="109" t="s">
        <v>224</v>
      </c>
      <c r="D57" s="45"/>
      <c r="E57" s="41"/>
      <c r="F57" s="41"/>
      <c r="G57" s="41">
        <f>0.6</f>
        <v>0.6</v>
      </c>
      <c r="H57" s="51">
        <f t="shared" si="41"/>
        <v>0.6</v>
      </c>
      <c r="I57" s="59">
        <f>0.22</f>
        <v>0.22</v>
      </c>
      <c r="J57" s="45"/>
      <c r="K57" s="41"/>
      <c r="L57" s="41"/>
      <c r="M57" s="41">
        <v>0.46</v>
      </c>
      <c r="N57" s="51">
        <f t="shared" si="42"/>
        <v>0.46</v>
      </c>
      <c r="O57" s="56">
        <v>0.56999999999999995</v>
      </c>
      <c r="P57" s="45"/>
      <c r="Q57" s="41"/>
      <c r="R57" s="41"/>
      <c r="S57" s="41">
        <f>0.45</f>
        <v>0.45</v>
      </c>
      <c r="T57" s="51">
        <f t="shared" si="43"/>
        <v>0.45</v>
      </c>
      <c r="U57" s="56">
        <f>0.67</f>
        <v>0.67</v>
      </c>
      <c r="V57" s="45"/>
      <c r="W57" s="41"/>
      <c r="X57" s="41"/>
      <c r="Y57" s="41">
        <f>4</f>
        <v>4</v>
      </c>
      <c r="Z57" s="51">
        <f t="shared" si="44"/>
        <v>4</v>
      </c>
      <c r="AA57" s="56">
        <f>0.44</f>
        <v>0.44</v>
      </c>
      <c r="AB57" s="45"/>
      <c r="AC57" s="41"/>
      <c r="AD57" s="41"/>
      <c r="AE57" s="41">
        <f>0.42</f>
        <v>0.42</v>
      </c>
      <c r="AF57" s="51">
        <f t="shared" si="45"/>
        <v>0.42</v>
      </c>
      <c r="AG57" s="59">
        <f>1.7</f>
        <v>1.7</v>
      </c>
      <c r="AH57" s="146">
        <f t="shared" si="73"/>
        <v>1.1859999999999999</v>
      </c>
      <c r="AI57" s="147">
        <f t="shared" si="46"/>
        <v>0.72</v>
      </c>
      <c r="AJ57" s="123"/>
      <c r="AK57" s="124" t="e">
        <f t="shared" si="74"/>
        <v>#DIV/0!</v>
      </c>
      <c r="AL57" s="123">
        <f t="shared" si="75"/>
        <v>8</v>
      </c>
      <c r="AM57" s="124">
        <f t="shared" si="47"/>
        <v>7.0588235294117645</v>
      </c>
      <c r="AN57" s="110">
        <f>334</f>
        <v>334</v>
      </c>
      <c r="AO57" s="67">
        <f t="shared" si="49"/>
        <v>367.40000000000003</v>
      </c>
      <c r="AP57" s="62">
        <f t="shared" si="50"/>
        <v>0.32280892759934671</v>
      </c>
      <c r="AQ57" s="69">
        <f t="shared" si="51"/>
        <v>350.7</v>
      </c>
      <c r="AR57" s="64">
        <f t="shared" si="52"/>
        <v>0.33818078129455376</v>
      </c>
      <c r="AS57" s="69">
        <f t="shared" si="53"/>
        <v>334</v>
      </c>
      <c r="AT57" s="64">
        <f t="shared" si="54"/>
        <v>0.35508982035928144</v>
      </c>
      <c r="AU57" s="69">
        <f t="shared" si="55"/>
        <v>327.32</v>
      </c>
      <c r="AV57" s="64">
        <f t="shared" si="56"/>
        <v>0.36233655138702187</v>
      </c>
      <c r="AW57" s="69">
        <f t="shared" si="57"/>
        <v>317.3</v>
      </c>
      <c r="AX57" s="64">
        <f t="shared" si="58"/>
        <v>0.37377875827292778</v>
      </c>
      <c r="AY57" s="69">
        <f t="shared" si="59"/>
        <v>300.60000000000002</v>
      </c>
      <c r="AZ57" s="64">
        <f t="shared" si="60"/>
        <v>0.39454424484364603</v>
      </c>
      <c r="BA57" s="69">
        <f t="shared" si="61"/>
        <v>293.92</v>
      </c>
      <c r="BB57" s="64">
        <f t="shared" si="62"/>
        <v>0.40351115949918348</v>
      </c>
      <c r="BC57" s="69">
        <f t="shared" si="63"/>
        <v>283.89999999999998</v>
      </c>
      <c r="BD57" s="64">
        <f t="shared" si="64"/>
        <v>0.41775272983444872</v>
      </c>
      <c r="BE57" s="69">
        <f t="shared" si="65"/>
        <v>267.2</v>
      </c>
      <c r="BF57" s="64">
        <f t="shared" si="66"/>
        <v>0.44386227544910178</v>
      </c>
      <c r="BG57" s="69">
        <f t="shared" si="67"/>
        <v>233.79999999999998</v>
      </c>
      <c r="BH57" s="64">
        <f t="shared" si="68"/>
        <v>0.50727117194183069</v>
      </c>
      <c r="BI57" s="69">
        <f t="shared" si="69"/>
        <v>200.4</v>
      </c>
      <c r="BJ57" s="64">
        <f t="shared" si="70"/>
        <v>0.59181636726546905</v>
      </c>
      <c r="BK57" s="69">
        <f t="shared" si="71"/>
        <v>167</v>
      </c>
      <c r="BL57" s="64">
        <f t="shared" si="72"/>
        <v>0.71017964071856288</v>
      </c>
    </row>
    <row r="58" spans="2:64" x14ac:dyDescent="0.2">
      <c r="B58" s="5">
        <v>52</v>
      </c>
      <c r="C58" s="109" t="s">
        <v>225</v>
      </c>
      <c r="D58" s="45"/>
      <c r="E58" s="41"/>
      <c r="F58" s="41"/>
      <c r="G58" s="41"/>
      <c r="H58" s="51">
        <f t="shared" si="41"/>
        <v>0</v>
      </c>
      <c r="I58" s="59"/>
      <c r="J58" s="45"/>
      <c r="K58" s="41"/>
      <c r="L58" s="41"/>
      <c r="M58" s="41"/>
      <c r="N58" s="51">
        <f t="shared" si="42"/>
        <v>0</v>
      </c>
      <c r="O58" s="56"/>
      <c r="P58" s="45"/>
      <c r="Q58" s="41">
        <f>0.16</f>
        <v>0.16</v>
      </c>
      <c r="R58" s="41"/>
      <c r="S58" s="41"/>
      <c r="T58" s="51">
        <f t="shared" si="43"/>
        <v>0.16</v>
      </c>
      <c r="U58" s="56">
        <f>2.11</f>
        <v>2.11</v>
      </c>
      <c r="V58" s="45"/>
      <c r="W58" s="41"/>
      <c r="X58" s="41"/>
      <c r="Y58" s="41">
        <f>0.15</f>
        <v>0.15</v>
      </c>
      <c r="Z58" s="51">
        <f t="shared" si="44"/>
        <v>0.15</v>
      </c>
      <c r="AA58" s="56">
        <f>1.75</f>
        <v>1.75</v>
      </c>
      <c r="AB58" s="45"/>
      <c r="AC58" s="41">
        <f>0.16</f>
        <v>0.16</v>
      </c>
      <c r="AD58" s="41"/>
      <c r="AE58" s="41">
        <f>0.15</f>
        <v>0.15</v>
      </c>
      <c r="AF58" s="51">
        <f t="shared" si="45"/>
        <v>0.31</v>
      </c>
      <c r="AG58" s="59">
        <f>1.81+1.6</f>
        <v>3.41</v>
      </c>
      <c r="AH58" s="146">
        <f t="shared" si="73"/>
        <v>0.124</v>
      </c>
      <c r="AI58" s="147">
        <f t="shared" si="46"/>
        <v>2.4233333333333333</v>
      </c>
      <c r="AJ58" s="123"/>
      <c r="AK58" s="124" t="e">
        <f t="shared" si="74"/>
        <v>#DIV/0!</v>
      </c>
      <c r="AL58" s="123">
        <f t="shared" si="75"/>
        <v>0</v>
      </c>
      <c r="AM58" s="124">
        <f t="shared" si="47"/>
        <v>0</v>
      </c>
      <c r="AN58" s="110">
        <f>2.06</f>
        <v>2.06</v>
      </c>
      <c r="AO58" s="67">
        <f t="shared" si="49"/>
        <v>2.2660000000000005</v>
      </c>
      <c r="AP58" s="62">
        <f t="shared" si="50"/>
        <v>5.4721977052074129</v>
      </c>
      <c r="AQ58" s="69">
        <f t="shared" si="51"/>
        <v>2.1630000000000003</v>
      </c>
      <c r="AR58" s="64">
        <f t="shared" si="52"/>
        <v>5.7327785483125284</v>
      </c>
      <c r="AS58" s="69">
        <f t="shared" si="53"/>
        <v>2.06</v>
      </c>
      <c r="AT58" s="64">
        <f t="shared" si="54"/>
        <v>6.0194174757281553</v>
      </c>
      <c r="AU58" s="69">
        <f t="shared" si="55"/>
        <v>2.0188000000000001</v>
      </c>
      <c r="AV58" s="64">
        <f t="shared" si="56"/>
        <v>6.1422627303348518</v>
      </c>
      <c r="AW58" s="69">
        <f t="shared" si="57"/>
        <v>1.9569999999999999</v>
      </c>
      <c r="AX58" s="64">
        <f t="shared" si="58"/>
        <v>6.3362289218191119</v>
      </c>
      <c r="AY58" s="69">
        <f t="shared" si="59"/>
        <v>1.8540000000000001</v>
      </c>
      <c r="AZ58" s="64">
        <f t="shared" si="60"/>
        <v>6.6882416396979503</v>
      </c>
      <c r="BA58" s="69">
        <f t="shared" si="61"/>
        <v>1.8128</v>
      </c>
      <c r="BB58" s="64">
        <f t="shared" si="62"/>
        <v>6.8402471315092681</v>
      </c>
      <c r="BC58" s="69">
        <f t="shared" si="63"/>
        <v>1.7509999999999999</v>
      </c>
      <c r="BD58" s="64">
        <f t="shared" si="64"/>
        <v>7.0816676185037117</v>
      </c>
      <c r="BE58" s="69">
        <f t="shared" si="65"/>
        <v>1.6480000000000001</v>
      </c>
      <c r="BF58" s="64">
        <f t="shared" si="66"/>
        <v>7.5242718446601939</v>
      </c>
      <c r="BG58" s="69">
        <f t="shared" si="67"/>
        <v>1.4419999999999999</v>
      </c>
      <c r="BH58" s="64">
        <f t="shared" si="68"/>
        <v>8.5991678224687931</v>
      </c>
      <c r="BI58" s="69">
        <f t="shared" si="69"/>
        <v>1.236</v>
      </c>
      <c r="BJ58" s="64">
        <f t="shared" si="70"/>
        <v>10.032362459546926</v>
      </c>
      <c r="BK58" s="69">
        <f t="shared" si="71"/>
        <v>1.03</v>
      </c>
      <c r="BL58" s="64">
        <f t="shared" si="72"/>
        <v>12.038834951456311</v>
      </c>
    </row>
    <row r="59" spans="2:64" x14ac:dyDescent="0.2">
      <c r="B59" s="5">
        <v>53</v>
      </c>
      <c r="C59" s="109" t="s">
        <v>226</v>
      </c>
      <c r="D59" s="45"/>
      <c r="E59" s="41">
        <f>0.3</f>
        <v>0.3</v>
      </c>
      <c r="F59" s="41"/>
      <c r="G59" s="41">
        <f>0.3</f>
        <v>0.3</v>
      </c>
      <c r="H59" s="51">
        <f t="shared" si="41"/>
        <v>0.6</v>
      </c>
      <c r="I59" s="59">
        <f>2.17+2.16</f>
        <v>4.33</v>
      </c>
      <c r="J59" s="45"/>
      <c r="K59" s="41">
        <f>0.27</f>
        <v>0.27</v>
      </c>
      <c r="L59" s="41"/>
      <c r="M59" s="41">
        <v>0.13</v>
      </c>
      <c r="N59" s="51">
        <f t="shared" si="42"/>
        <v>0.4</v>
      </c>
      <c r="O59" s="56">
        <f>1.8+1.09</f>
        <v>2.89</v>
      </c>
      <c r="P59" s="45"/>
      <c r="Q59" s="41">
        <f>0.25</f>
        <v>0.25</v>
      </c>
      <c r="R59" s="41"/>
      <c r="S59" s="41">
        <f>0.27</f>
        <v>0.27</v>
      </c>
      <c r="T59" s="51">
        <f t="shared" si="43"/>
        <v>0.52</v>
      </c>
      <c r="U59" s="56">
        <f>0+1.47</f>
        <v>1.47</v>
      </c>
      <c r="V59" s="45"/>
      <c r="W59" s="41">
        <f>0.35</f>
        <v>0.35</v>
      </c>
      <c r="X59" s="41"/>
      <c r="Y59" s="41">
        <f>0.15</f>
        <v>0.15</v>
      </c>
      <c r="Z59" s="51">
        <f t="shared" si="44"/>
        <v>0.5</v>
      </c>
      <c r="AA59" s="56">
        <f>1.31+0.68</f>
        <v>1.9900000000000002</v>
      </c>
      <c r="AB59" s="45"/>
      <c r="AC59" s="41">
        <f>0.27</f>
        <v>0.27</v>
      </c>
      <c r="AD59" s="41"/>
      <c r="AE59" s="41">
        <f>0.19</f>
        <v>0.19</v>
      </c>
      <c r="AF59" s="51">
        <f t="shared" si="45"/>
        <v>0.46</v>
      </c>
      <c r="AG59" s="59">
        <f>0.92+0.74</f>
        <v>1.6600000000000001</v>
      </c>
      <c r="AH59" s="146">
        <f t="shared" si="73"/>
        <v>0.496</v>
      </c>
      <c r="AI59" s="147">
        <f t="shared" si="46"/>
        <v>2.4680000000000004</v>
      </c>
      <c r="AJ59" s="123"/>
      <c r="AK59" s="124" t="e">
        <f t="shared" si="74"/>
        <v>#DIV/0!</v>
      </c>
      <c r="AL59" s="123">
        <f t="shared" si="75"/>
        <v>8</v>
      </c>
      <c r="AM59" s="124">
        <f t="shared" si="47"/>
        <v>7.0588235294117645</v>
      </c>
      <c r="AN59" s="110">
        <f>12.7</f>
        <v>12.7</v>
      </c>
      <c r="AO59" s="67">
        <f t="shared" si="49"/>
        <v>13.97</v>
      </c>
      <c r="AP59" s="62">
        <f t="shared" si="50"/>
        <v>3.5504652827487471</v>
      </c>
      <c r="AQ59" s="69">
        <f t="shared" si="51"/>
        <v>13.334999999999999</v>
      </c>
      <c r="AR59" s="64">
        <f t="shared" si="52"/>
        <v>3.719535058117736</v>
      </c>
      <c r="AS59" s="69">
        <f t="shared" si="53"/>
        <v>12.7</v>
      </c>
      <c r="AT59" s="64">
        <f t="shared" si="54"/>
        <v>3.9055118110236222</v>
      </c>
      <c r="AU59" s="69">
        <f t="shared" si="55"/>
        <v>12.446</v>
      </c>
      <c r="AV59" s="64">
        <f t="shared" si="56"/>
        <v>3.9852161336975738</v>
      </c>
      <c r="AW59" s="69">
        <f t="shared" si="57"/>
        <v>12.065</v>
      </c>
      <c r="AX59" s="64">
        <f t="shared" si="58"/>
        <v>4.1110650642353921</v>
      </c>
      <c r="AY59" s="69">
        <f t="shared" si="59"/>
        <v>11.43</v>
      </c>
      <c r="AZ59" s="64">
        <f t="shared" si="60"/>
        <v>4.3394575678040246</v>
      </c>
      <c r="BA59" s="69">
        <f t="shared" si="61"/>
        <v>11.176</v>
      </c>
      <c r="BB59" s="64">
        <f t="shared" si="62"/>
        <v>4.4380816034359336</v>
      </c>
      <c r="BC59" s="69">
        <f t="shared" si="63"/>
        <v>10.795</v>
      </c>
      <c r="BD59" s="64">
        <f t="shared" si="64"/>
        <v>4.5947197776748494</v>
      </c>
      <c r="BE59" s="69">
        <f t="shared" si="65"/>
        <v>10.16</v>
      </c>
      <c r="BF59" s="64">
        <f t="shared" si="66"/>
        <v>4.8818897637795278</v>
      </c>
      <c r="BG59" s="69">
        <f t="shared" si="67"/>
        <v>8.8899999999999988</v>
      </c>
      <c r="BH59" s="64">
        <f t="shared" si="68"/>
        <v>5.5793025871766035</v>
      </c>
      <c r="BI59" s="69">
        <f t="shared" si="69"/>
        <v>7.6199999999999992</v>
      </c>
      <c r="BJ59" s="64">
        <f t="shared" si="70"/>
        <v>6.5091863517060382</v>
      </c>
      <c r="BK59" s="69">
        <f t="shared" si="71"/>
        <v>6.35</v>
      </c>
      <c r="BL59" s="64">
        <f t="shared" si="72"/>
        <v>7.8110236220472444</v>
      </c>
    </row>
    <row r="60" spans="2:64" x14ac:dyDescent="0.2">
      <c r="B60" s="5">
        <v>54</v>
      </c>
      <c r="C60" s="109" t="s">
        <v>7</v>
      </c>
      <c r="D60" s="45"/>
      <c r="E60" s="41">
        <f>1</f>
        <v>1</v>
      </c>
      <c r="F60" s="41"/>
      <c r="G60" s="41">
        <f>0.25</f>
        <v>0.25</v>
      </c>
      <c r="H60" s="51">
        <f t="shared" si="41"/>
        <v>1.25</v>
      </c>
      <c r="I60" s="59">
        <f>4.57+1.3</f>
        <v>5.87</v>
      </c>
      <c r="J60" s="45"/>
      <c r="K60" s="41">
        <f>0.45</f>
        <v>0.45</v>
      </c>
      <c r="L60" s="41"/>
      <c r="M60" s="41">
        <f>0.55</f>
        <v>0.55000000000000004</v>
      </c>
      <c r="N60" s="51">
        <f t="shared" si="42"/>
        <v>1</v>
      </c>
      <c r="O60" s="56">
        <f>1.82+2.12</f>
        <v>3.9400000000000004</v>
      </c>
      <c r="P60" s="45"/>
      <c r="Q60" s="41"/>
      <c r="R60" s="41"/>
      <c r="S60" s="41"/>
      <c r="T60" s="51">
        <f t="shared" si="43"/>
        <v>0</v>
      </c>
      <c r="U60" s="56"/>
      <c r="V60" s="45"/>
      <c r="W60" s="41">
        <f>0.4</f>
        <v>0.4</v>
      </c>
      <c r="X60" s="41"/>
      <c r="Y60" s="41">
        <f>0.35</f>
        <v>0.35</v>
      </c>
      <c r="Z60" s="51">
        <f t="shared" si="44"/>
        <v>0.75</v>
      </c>
      <c r="AA60" s="56">
        <f>1.54+1.72</f>
        <v>3.26</v>
      </c>
      <c r="AB60" s="45"/>
      <c r="AC60" s="41">
        <f>0.4</f>
        <v>0.4</v>
      </c>
      <c r="AD60" s="41"/>
      <c r="AE60" s="41">
        <f>0.25</f>
        <v>0.25</v>
      </c>
      <c r="AF60" s="51">
        <f t="shared" si="45"/>
        <v>0.65</v>
      </c>
      <c r="AG60" s="59">
        <f>1.5+1.04</f>
        <v>2.54</v>
      </c>
      <c r="AH60" s="146">
        <f t="shared" si="73"/>
        <v>0.73</v>
      </c>
      <c r="AI60" s="147">
        <f t="shared" si="46"/>
        <v>3.9024999999999999</v>
      </c>
      <c r="AJ60" s="123"/>
      <c r="AK60" s="124" t="e">
        <f t="shared" si="74"/>
        <v>#DIV/0!</v>
      </c>
      <c r="AL60" s="123">
        <f t="shared" si="75"/>
        <v>16.666666666666664</v>
      </c>
      <c r="AM60" s="124">
        <f t="shared" si="47"/>
        <v>14.705882352941178</v>
      </c>
      <c r="AN60" s="110">
        <f>19.2</f>
        <v>19.2</v>
      </c>
      <c r="AO60" s="67">
        <f t="shared" si="49"/>
        <v>21.12</v>
      </c>
      <c r="AP60" s="62">
        <f t="shared" si="50"/>
        <v>3.4564393939393936</v>
      </c>
      <c r="AQ60" s="69">
        <f t="shared" si="51"/>
        <v>20.16</v>
      </c>
      <c r="AR60" s="64">
        <f t="shared" si="52"/>
        <v>3.6210317460317456</v>
      </c>
      <c r="AS60" s="69">
        <f t="shared" si="53"/>
        <v>19.2</v>
      </c>
      <c r="AT60" s="64">
        <f t="shared" si="54"/>
        <v>3.8020833333333339</v>
      </c>
      <c r="AU60" s="69">
        <f t="shared" si="55"/>
        <v>18.815999999999999</v>
      </c>
      <c r="AV60" s="64">
        <f t="shared" si="56"/>
        <v>3.8796768707482991</v>
      </c>
      <c r="AW60" s="69">
        <f t="shared" si="57"/>
        <v>18.239999999999998</v>
      </c>
      <c r="AX60" s="64">
        <f t="shared" si="58"/>
        <v>4.0021929824561404</v>
      </c>
      <c r="AY60" s="69">
        <f t="shared" si="59"/>
        <v>17.28</v>
      </c>
      <c r="AZ60" s="64">
        <f t="shared" si="60"/>
        <v>4.2245370370370363</v>
      </c>
      <c r="BA60" s="69">
        <f t="shared" si="61"/>
        <v>16.896000000000001</v>
      </c>
      <c r="BB60" s="64">
        <f t="shared" si="62"/>
        <v>4.3205492424242422</v>
      </c>
      <c r="BC60" s="69">
        <f t="shared" si="63"/>
        <v>16.32</v>
      </c>
      <c r="BD60" s="64">
        <f t="shared" si="64"/>
        <v>4.4730392156862742</v>
      </c>
      <c r="BE60" s="69">
        <f t="shared" si="65"/>
        <v>15.36</v>
      </c>
      <c r="BF60" s="64">
        <f t="shared" si="66"/>
        <v>4.7526041666666661</v>
      </c>
      <c r="BG60" s="69">
        <f t="shared" si="67"/>
        <v>13.44</v>
      </c>
      <c r="BH60" s="64">
        <f t="shared" si="68"/>
        <v>5.4315476190476195</v>
      </c>
      <c r="BI60" s="69">
        <f t="shared" si="69"/>
        <v>11.52</v>
      </c>
      <c r="BJ60" s="64">
        <f t="shared" si="70"/>
        <v>6.3368055555555554</v>
      </c>
      <c r="BK60" s="69">
        <f t="shared" si="71"/>
        <v>9.6</v>
      </c>
      <c r="BL60" s="64">
        <f t="shared" si="72"/>
        <v>7.6041666666666679</v>
      </c>
    </row>
    <row r="61" spans="2:64" x14ac:dyDescent="0.2">
      <c r="B61" s="5">
        <v>55</v>
      </c>
      <c r="C61" s="109" t="s">
        <v>86</v>
      </c>
      <c r="D61" s="45"/>
      <c r="E61" s="41">
        <f>3.61</f>
        <v>3.61</v>
      </c>
      <c r="F61" s="41"/>
      <c r="G61" s="41"/>
      <c r="H61" s="51">
        <f t="shared" si="41"/>
        <v>3.61</v>
      </c>
      <c r="I61" s="59">
        <f>7.48</f>
        <v>7.48</v>
      </c>
      <c r="J61" s="45"/>
      <c r="K61" s="41">
        <f>4.15</f>
        <v>4.1500000000000004</v>
      </c>
      <c r="L61" s="41"/>
      <c r="M61" s="41"/>
      <c r="N61" s="51">
        <f t="shared" si="42"/>
        <v>4.1500000000000004</v>
      </c>
      <c r="O61" s="56">
        <f>7.61</f>
        <v>7.61</v>
      </c>
      <c r="P61" s="45"/>
      <c r="Q61" s="41">
        <f>1.7</f>
        <v>1.7</v>
      </c>
      <c r="R61" s="41"/>
      <c r="S61" s="41"/>
      <c r="T61" s="51">
        <f t="shared" si="43"/>
        <v>1.7</v>
      </c>
      <c r="U61" s="56">
        <f>4.59</f>
        <v>4.59</v>
      </c>
      <c r="V61" s="45"/>
      <c r="W61" s="41">
        <f>0.9</f>
        <v>0.9</v>
      </c>
      <c r="X61" s="41"/>
      <c r="Y61" s="41"/>
      <c r="Z61" s="51">
        <f t="shared" si="44"/>
        <v>0.9</v>
      </c>
      <c r="AA61" s="56">
        <f>2.71</f>
        <v>2.71</v>
      </c>
      <c r="AB61" s="45"/>
      <c r="AC61" s="41">
        <f>0.46</f>
        <v>0.46</v>
      </c>
      <c r="AD61" s="41"/>
      <c r="AE61" s="41"/>
      <c r="AF61" s="51">
        <f t="shared" si="45"/>
        <v>0.46</v>
      </c>
      <c r="AG61" s="59">
        <f>1.39</f>
        <v>1.39</v>
      </c>
      <c r="AH61" s="146">
        <f t="shared" si="73"/>
        <v>2.1640000000000001</v>
      </c>
      <c r="AI61" s="147">
        <f t="shared" si="46"/>
        <v>4.7560000000000002</v>
      </c>
      <c r="AJ61" s="123"/>
      <c r="AK61" s="124" t="e">
        <f t="shared" si="74"/>
        <v>#DIV/0!</v>
      </c>
      <c r="AL61" s="123">
        <f t="shared" si="75"/>
        <v>48.133333333333333</v>
      </c>
      <c r="AM61" s="124">
        <f t="shared" si="47"/>
        <v>42.470588235294116</v>
      </c>
      <c r="AN61" s="110">
        <f>57.75</f>
        <v>57.75</v>
      </c>
      <c r="AO61" s="67">
        <f t="shared" si="49"/>
        <v>63.525000000000006</v>
      </c>
      <c r="AP61" s="62">
        <f t="shared" si="50"/>
        <v>3.4065328610783152</v>
      </c>
      <c r="AQ61" s="69">
        <f t="shared" si="51"/>
        <v>60.637500000000003</v>
      </c>
      <c r="AR61" s="64">
        <f t="shared" si="52"/>
        <v>3.5687487116058549</v>
      </c>
      <c r="AS61" s="69">
        <f t="shared" si="53"/>
        <v>57.75</v>
      </c>
      <c r="AT61" s="64">
        <f t="shared" si="54"/>
        <v>3.7471861471861474</v>
      </c>
      <c r="AU61" s="69">
        <f t="shared" si="55"/>
        <v>56.594999999999999</v>
      </c>
      <c r="AV61" s="64">
        <f t="shared" si="56"/>
        <v>3.8236593338634162</v>
      </c>
      <c r="AW61" s="69">
        <f t="shared" si="57"/>
        <v>54.862499999999997</v>
      </c>
      <c r="AX61" s="64">
        <f t="shared" si="58"/>
        <v>3.9444064707222606</v>
      </c>
      <c r="AY61" s="69">
        <f t="shared" si="59"/>
        <v>51.975000000000001</v>
      </c>
      <c r="AZ61" s="64">
        <f t="shared" si="60"/>
        <v>4.1635401635401639</v>
      </c>
      <c r="BA61" s="69">
        <f t="shared" si="61"/>
        <v>50.82</v>
      </c>
      <c r="BB61" s="64">
        <f t="shared" si="62"/>
        <v>4.2581660763478943</v>
      </c>
      <c r="BC61" s="69">
        <f t="shared" si="63"/>
        <v>49.087499999999999</v>
      </c>
      <c r="BD61" s="64">
        <f t="shared" si="64"/>
        <v>4.4084542908072324</v>
      </c>
      <c r="BE61" s="69">
        <f t="shared" si="65"/>
        <v>46.2</v>
      </c>
      <c r="BF61" s="64">
        <f t="shared" si="66"/>
        <v>4.6839826839826841</v>
      </c>
      <c r="BG61" s="69">
        <f t="shared" si="67"/>
        <v>40.424999999999997</v>
      </c>
      <c r="BH61" s="64">
        <f t="shared" si="68"/>
        <v>5.3531230674087826</v>
      </c>
      <c r="BI61" s="69">
        <f t="shared" si="69"/>
        <v>34.65</v>
      </c>
      <c r="BJ61" s="64">
        <f t="shared" si="70"/>
        <v>6.2453102453102458</v>
      </c>
      <c r="BK61" s="69">
        <f t="shared" si="71"/>
        <v>28.875</v>
      </c>
      <c r="BL61" s="64">
        <f t="shared" si="72"/>
        <v>7.4943722943722948</v>
      </c>
    </row>
    <row r="62" spans="2:64" ht="17" thickBot="1" x14ac:dyDescent="0.25">
      <c r="B62" s="5">
        <v>56</v>
      </c>
      <c r="C62" s="109" t="s">
        <v>227</v>
      </c>
      <c r="D62" s="46"/>
      <c r="E62" s="47"/>
      <c r="F62" s="47"/>
      <c r="G62" s="47">
        <f>2.4</f>
        <v>2.4</v>
      </c>
      <c r="H62" s="52">
        <f t="shared" si="41"/>
        <v>2.4</v>
      </c>
      <c r="I62" s="60">
        <f>3.89</f>
        <v>3.89</v>
      </c>
      <c r="J62" s="46"/>
      <c r="K62" s="47"/>
      <c r="L62" s="47"/>
      <c r="M62" s="47">
        <f>2.1</f>
        <v>2.1</v>
      </c>
      <c r="N62" s="52">
        <f t="shared" si="42"/>
        <v>2.1</v>
      </c>
      <c r="O62" s="57">
        <f>4.29</f>
        <v>4.29</v>
      </c>
      <c r="P62" s="46"/>
      <c r="Q62" s="47"/>
      <c r="R62" s="47"/>
      <c r="S62" s="47">
        <f>1.8</f>
        <v>1.8</v>
      </c>
      <c r="T62" s="52">
        <f t="shared" si="43"/>
        <v>1.8</v>
      </c>
      <c r="U62" s="57">
        <f>2.77</f>
        <v>2.77</v>
      </c>
      <c r="V62" s="46"/>
      <c r="W62" s="47"/>
      <c r="X62" s="47"/>
      <c r="Y62" s="47">
        <f>1.15</f>
        <v>1.1499999999999999</v>
      </c>
      <c r="Z62" s="52">
        <f t="shared" si="44"/>
        <v>1.1499999999999999</v>
      </c>
      <c r="AA62" s="57">
        <f>1.73</f>
        <v>1.73</v>
      </c>
      <c r="AB62" s="46"/>
      <c r="AC62" s="47"/>
      <c r="AD62" s="47"/>
      <c r="AE62" s="47">
        <f>0.6</f>
        <v>0.6</v>
      </c>
      <c r="AF62" s="52">
        <f t="shared" si="45"/>
        <v>0.6</v>
      </c>
      <c r="AG62" s="60">
        <f>1.09</f>
        <v>1.0900000000000001</v>
      </c>
      <c r="AH62" s="148">
        <f t="shared" si="73"/>
        <v>1.6099999999999999</v>
      </c>
      <c r="AI62" s="149">
        <f t="shared" si="46"/>
        <v>2.754</v>
      </c>
      <c r="AJ62" s="125"/>
      <c r="AK62" s="126" t="e">
        <f t="shared" si="74"/>
        <v>#DIV/0!</v>
      </c>
      <c r="AL62" s="125">
        <f t="shared" si="75"/>
        <v>32</v>
      </c>
      <c r="AM62" s="126">
        <f t="shared" si="47"/>
        <v>28.235294117647058</v>
      </c>
      <c r="AN62" s="110">
        <f>65.25</f>
        <v>65.25</v>
      </c>
      <c r="AO62" s="68">
        <f t="shared" si="49"/>
        <v>71.775000000000006</v>
      </c>
      <c r="AP62" s="63">
        <f t="shared" si="50"/>
        <v>2.2431208638105189</v>
      </c>
      <c r="AQ62" s="70">
        <f t="shared" si="51"/>
        <v>68.512500000000003</v>
      </c>
      <c r="AR62" s="65">
        <f t="shared" si="52"/>
        <v>2.3499361430395909</v>
      </c>
      <c r="AS62" s="70">
        <f t="shared" si="53"/>
        <v>65.25</v>
      </c>
      <c r="AT62" s="65">
        <f t="shared" si="54"/>
        <v>2.4674329501915704</v>
      </c>
      <c r="AU62" s="70">
        <f t="shared" si="55"/>
        <v>63.945</v>
      </c>
      <c r="AV62" s="65">
        <f t="shared" si="56"/>
        <v>2.5177887246852761</v>
      </c>
      <c r="AW62" s="70">
        <f t="shared" si="57"/>
        <v>61.987499999999997</v>
      </c>
      <c r="AX62" s="65">
        <f t="shared" si="58"/>
        <v>2.5972978423069168</v>
      </c>
      <c r="AY62" s="70">
        <f t="shared" si="59"/>
        <v>58.725000000000001</v>
      </c>
      <c r="AZ62" s="65">
        <f t="shared" si="60"/>
        <v>2.7415921668795229</v>
      </c>
      <c r="BA62" s="70">
        <f t="shared" si="61"/>
        <v>57.42</v>
      </c>
      <c r="BB62" s="65">
        <f t="shared" si="62"/>
        <v>2.8039010797631483</v>
      </c>
      <c r="BC62" s="70">
        <f t="shared" si="63"/>
        <v>55.462499999999999</v>
      </c>
      <c r="BD62" s="65">
        <f t="shared" si="64"/>
        <v>2.9028622943430245</v>
      </c>
      <c r="BE62" s="70">
        <f t="shared" si="65"/>
        <v>52.2</v>
      </c>
      <c r="BF62" s="65">
        <f t="shared" si="66"/>
        <v>3.0842911877394634</v>
      </c>
      <c r="BG62" s="70">
        <f t="shared" si="67"/>
        <v>45.674999999999997</v>
      </c>
      <c r="BH62" s="65">
        <f t="shared" si="68"/>
        <v>3.524904214559387</v>
      </c>
      <c r="BI62" s="70">
        <f t="shared" si="69"/>
        <v>39.15</v>
      </c>
      <c r="BJ62" s="65">
        <f t="shared" si="70"/>
        <v>4.1123882503192846</v>
      </c>
      <c r="BK62" s="70">
        <f t="shared" si="71"/>
        <v>32.625</v>
      </c>
      <c r="BL62" s="65">
        <f t="shared" si="72"/>
        <v>4.9348659003831408</v>
      </c>
    </row>
  </sheetData>
  <mergeCells count="9">
    <mergeCell ref="AO3:BL3"/>
    <mergeCell ref="AJ2:AK2"/>
    <mergeCell ref="B3:B4"/>
    <mergeCell ref="AB3:AG3"/>
    <mergeCell ref="V3:AA3"/>
    <mergeCell ref="P3:U3"/>
    <mergeCell ref="J3:O3"/>
    <mergeCell ref="D3:I3"/>
    <mergeCell ref="AH2:AI2"/>
  </mergeCells>
  <conditionalFormatting sqref="H5 N5 T5 Z5 AF5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 H6 T6 Z6 AF6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7 H7 T7 Z7 AF7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 N9 T9 Z9 AF9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0 N10 T10 Z10 AF10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 N11 T11 Z11 AF11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3 H13 T13 Z13 AF13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0 N20 T20 Z20 AF20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3 H23 T23 Z23 AF23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5 N25 T25 Z25 AF25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6 H26 T26 Z26 AF26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8 H28 T28 Z28 AF28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9 H29 T29 Z29 AF29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1 H31 T31 Z31 AF31 N36 H36 T36 Z36 AF36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2 H32 T32 Z32 AF32 H37 N37 T37 Z37 AF37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3 N33 T33 Z33 AF33 H38 N38 T38 Z38 AF38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3 H43 T43 Z43 AF4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5 N45 T45 Z45 AF4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6 N46 T46 Z46 AF4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8 H48 T48 Z48 AF4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0 H50 T50 Z50 AF5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2 H52 T52 Z52 AF5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4 H54 T54 Z54 AF5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6 H56 T56 Z56 AF5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8 H58 T58 Z58 AF5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0 N60 T60 Z60 AF6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2 N62 T62 Z62 AF6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 N8 T8 Z8 AF8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 N12 T12 Z12 AF12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 N14 T14 Z14 AF14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 H15 T15 Z15 AF15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6 H16 T16 Z16 AF1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 N17 T17 Z17 AF17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8 H18 T18 Z18 AF18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 N19 T19 Z19 AF19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 N21 T21 Z21 AF21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 N22 T22 Z22 AF22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4 N24 T24 Z24 AF2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7 N27 T27 Z27 AF27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0 N30 T30 Z30 AF30 H35 N35 T35 Z35 AF35 H40:H62 N40:N62 T40:T62 Z40:Z62 AF40:AF6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4 H34 T34 Z34 AF34 N39 H39 T39 Z39 AF39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0 N40 T40 Z40 AF40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2 N42 T42 Z42 AF4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4 H44 T44 Z44 AF4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5 N45 T45 Z45 AF4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6 H46 T46 Z46 AF4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7 N47 T47 Z47 AF4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9 H49 T49 Z49 AF4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1 N51 T51 Z51 AF5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3 N53 T53 Z53 AF5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5 N55 T55 Z55 AF5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7 N57 T57 Z57 AF5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9 N59 T59 Z59 AF5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1 N61 T61 Z61 AF6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9 AF39 T39 N39 H39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:AI34 AI36:AI40 AI42:AI6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:AI34 AI36:AI62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 AQ4 AS4 AU4 AW4 AY4 BA4 BC4 BE4 BG4 BI4 BK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5:AP62 AR5:AR62 AT5:AT62 AV5:AV62 AX5:AX62 AZ5:AZ62 BB5:BB62 BD5:BD62 BF5:BF62 BH5:BH62 BJ5:BJ62 BL5:BL62">
    <cfRule type="cellIs" dxfId="0" priority="66" operator="greaterThanOrEqual">
      <formula>$AL$2</formula>
    </cfRule>
  </conditionalFormatting>
  <conditionalFormatting sqref="AL2:AM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% YEILD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pratya sukawanna</cp:lastModifiedBy>
  <dcterms:created xsi:type="dcterms:W3CDTF">2024-04-16T07:15:56Z</dcterms:created>
  <dcterms:modified xsi:type="dcterms:W3CDTF">2026-05-15T09:55:22Z</dcterms:modified>
</cp:coreProperties>
</file>